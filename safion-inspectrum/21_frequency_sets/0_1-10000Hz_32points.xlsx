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nda\H-laufwerk\Angis\abl\MultiSin\"/>
    </mc:Choice>
  </mc:AlternateContent>
  <xr:revisionPtr revIDLastSave="0" documentId="13_ncr:1_{54CD2C33-4D2F-45C4-87F0-AD8624DEB4BE}" xr6:coauthVersionLast="47" xr6:coauthVersionMax="47" xr10:uidLastSave="{00000000-0000-0000-0000-000000000000}"/>
  <bookViews>
    <workbookView xWindow="28680" yWindow="-120" windowWidth="29040" windowHeight="15840" xr2:uid="{327489CC-E56E-42D7-A12B-E5A14A9437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4" i="1"/>
  <c r="F23" i="1"/>
  <c r="F22" i="1"/>
  <c r="F21" i="1"/>
  <c r="F20" i="1"/>
  <c r="F19" i="1"/>
  <c r="F18" i="1"/>
  <c r="F17" i="1"/>
  <c r="F12" i="1"/>
  <c r="F11" i="1"/>
  <c r="F10" i="1"/>
  <c r="F9" i="1"/>
  <c r="F8" i="1"/>
  <c r="F7" i="1"/>
  <c r="F6" i="1"/>
  <c r="F5" i="1"/>
  <c r="E35" i="1"/>
  <c r="F35" i="1" s="1"/>
  <c r="E34" i="1"/>
  <c r="E33" i="1"/>
  <c r="E32" i="1"/>
  <c r="E31" i="1"/>
  <c r="E30" i="1"/>
  <c r="E29" i="1"/>
  <c r="E28" i="1"/>
  <c r="F28" i="1" s="1"/>
  <c r="E27" i="1"/>
  <c r="F27" i="1" s="1"/>
  <c r="E26" i="1"/>
  <c r="F26" i="1" s="1"/>
  <c r="E25" i="1"/>
  <c r="F25" i="1" s="1"/>
  <c r="E24" i="1"/>
  <c r="E23" i="1"/>
  <c r="E22" i="1"/>
  <c r="E21" i="1"/>
  <c r="E20" i="1"/>
  <c r="E19" i="1"/>
  <c r="E18" i="1"/>
  <c r="E17" i="1"/>
  <c r="E16" i="1"/>
  <c r="F16" i="1" s="1"/>
  <c r="E15" i="1"/>
  <c r="F15" i="1" s="1"/>
  <c r="E14" i="1"/>
  <c r="F14" i="1" s="1"/>
  <c r="E13" i="1"/>
  <c r="F13" i="1" s="1"/>
  <c r="E12" i="1"/>
  <c r="E11" i="1"/>
  <c r="E10" i="1"/>
  <c r="E9" i="1"/>
  <c r="E8" i="1"/>
  <c r="E7" i="1"/>
  <c r="E6" i="1"/>
  <c r="E5" i="1"/>
  <c r="E4" i="1"/>
  <c r="F4" i="1" s="1"/>
  <c r="H3" i="1"/>
</calcChain>
</file>

<file path=xl/sharedStrings.xml><?xml version="1.0" encoding="utf-8"?>
<sst xmlns="http://schemas.openxmlformats.org/spreadsheetml/2006/main" count="8" uniqueCount="8">
  <si>
    <t>Frequency in Hz</t>
  </si>
  <si>
    <t>Amplitude in A</t>
  </si>
  <si>
    <t>Phase in °</t>
  </si>
  <si>
    <t>Log</t>
  </si>
  <si>
    <t>max bei 1 a</t>
  </si>
  <si>
    <t>für 1 a</t>
  </si>
  <si>
    <t>Phase in rad</t>
  </si>
  <si>
    <t>Phase in rad +-pi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</si>
</sst>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66" fontId="0" fillId="0" borderId="0" xfId="0" applyNumberFormat="1"/>
  </cellXfs>
  <cellStyles count="1">
    <cellStyle name="Standard" xfId="0" builtinId="0"/>
  </cellStyles>
  <dxfs count="2">
    <dxf>
      <numFmt numFmtId="166" formatCode="0.000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Frequency in 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Tabelle1!$B$4:$B$35</c:f>
              <c:numCache>
                <c:formatCode>Standard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0.60000000000000009</c:v>
                </c:pt>
                <c:pt idx="5">
                  <c:v>0.8</c:v>
                </c:pt>
                <c:pt idx="6">
                  <c:v>1</c:v>
                </c:pt>
                <c:pt idx="7">
                  <c:v>1.3</c:v>
                </c:pt>
                <c:pt idx="8">
                  <c:v>2</c:v>
                </c:pt>
                <c:pt idx="9">
                  <c:v>2.8000000000000003</c:v>
                </c:pt>
                <c:pt idx="10">
                  <c:v>4.1000000000000005</c:v>
                </c:pt>
                <c:pt idx="11">
                  <c:v>5.9</c:v>
                </c:pt>
                <c:pt idx="12">
                  <c:v>8.6</c:v>
                </c:pt>
                <c:pt idx="13">
                  <c:v>12.5</c:v>
                </c:pt>
                <c:pt idx="14">
                  <c:v>18.100000000000001</c:v>
                </c:pt>
                <c:pt idx="15">
                  <c:v>26.3</c:v>
                </c:pt>
                <c:pt idx="16">
                  <c:v>38.1</c:v>
                </c:pt>
                <c:pt idx="17">
                  <c:v>55.2</c:v>
                </c:pt>
                <c:pt idx="18">
                  <c:v>80</c:v>
                </c:pt>
                <c:pt idx="19">
                  <c:v>116</c:v>
                </c:pt>
                <c:pt idx="20">
                  <c:v>168.20000000000002</c:v>
                </c:pt>
                <c:pt idx="21">
                  <c:v>243.8</c:v>
                </c:pt>
                <c:pt idx="22">
                  <c:v>353.5</c:v>
                </c:pt>
                <c:pt idx="23">
                  <c:v>512.5</c:v>
                </c:pt>
                <c:pt idx="24">
                  <c:v>743</c:v>
                </c:pt>
                <c:pt idx="25">
                  <c:v>1077.1000000000001</c:v>
                </c:pt>
                <c:pt idx="26">
                  <c:v>1561.5</c:v>
                </c:pt>
                <c:pt idx="27">
                  <c:v>2263.8000000000002</c:v>
                </c:pt>
                <c:pt idx="28">
                  <c:v>3281.9</c:v>
                </c:pt>
                <c:pt idx="29">
                  <c:v>4757.9000000000005</c:v>
                </c:pt>
                <c:pt idx="30">
                  <c:v>6897.8</c:v>
                </c:pt>
                <c:pt idx="3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A-4B66-923B-4F5218F1B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481280"/>
        <c:axId val="1382499584"/>
      </c:lineChart>
      <c:catAx>
        <c:axId val="138248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2499584"/>
        <c:crosses val="autoZero"/>
        <c:auto val="1"/>
        <c:lblAlgn val="ctr"/>
        <c:lblOffset val="100"/>
        <c:noMultiLvlLbl val="0"/>
      </c:catAx>
      <c:valAx>
        <c:axId val="13824995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Standar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248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5</xdr:row>
      <xdr:rowOff>33337</xdr:rowOff>
    </xdr:from>
    <xdr:to>
      <xdr:col>12</xdr:col>
      <xdr:colOff>666750</xdr:colOff>
      <xdr:row>19</xdr:row>
      <xdr:rowOff>109537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8DB8F21-C583-4D65-9CE1-913A0F9BE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D2D87-DABB-46F7-B04E-A0286786692E}" name="Tabelle1" displayName="Tabelle1" ref="B3:F35" totalsRowShown="0">
  <autoFilter ref="B3:F35" xr:uid="{082D2D87-DABB-46F7-B04E-A0286786692E}"/>
  <sortState xmlns:xlrd2="http://schemas.microsoft.com/office/spreadsheetml/2017/richdata2" ref="B4:F35">
    <sortCondition ref="B3:B35"/>
  </sortState>
  <tableColumns count="5">
    <tableColumn id="1" xr3:uid="{C0BC7314-87F3-4521-9290-671238633539}" name="Frequency in Hz"/>
    <tableColumn id="2" xr3:uid="{E50F2B9D-4AFE-4933-B213-7CE24633536B}" name="Amplitude in A"/>
    <tableColumn id="3" xr3:uid="{7AA5A473-741F-437E-AE76-3D8D423AF521}" name="Phase in rad"/>
    <tableColumn id="4" xr3:uid="{DDBE7128-38C1-4CB2-992A-A3D9FED27996}" name="Phase in rad +-pi" dataDxfId="1">
      <calculatedColumnFormula>Tabelle1[[#This Row],[Phase in rad]]-ROUND(Tabelle1[[#This Row],[Phase in rad]]/2/PI(),0)*2*PI()</calculatedColumnFormula>
    </tableColumn>
    <tableColumn id="5" xr3:uid="{26CD0609-1709-47BE-94CF-B4F37C494070}" name="Phase in °" dataDxfId="0">
      <calculatedColumnFormula>Tabelle1[[#This Row],[Phase in rad +-pi]]/PI()*180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6256-E8DA-46F0-BE7F-8544159DD080}">
  <dimension ref="B2:H35"/>
  <sheetViews>
    <sheetView tabSelected="1" workbookViewId="0">
      <selection activeCell="H26" sqref="H26"/>
    </sheetView>
  </sheetViews>
  <sheetFormatPr baseColWidth="10" defaultRowHeight="15" x14ac:dyDescent="0.25"/>
  <cols>
    <col min="2" max="2" width="17.28515625" bestFit="1" customWidth="1"/>
    <col min="3" max="3" width="16.5703125" bestFit="1" customWidth="1"/>
    <col min="4" max="4" width="14" bestFit="1" customWidth="1"/>
    <col min="5" max="5" width="17.85546875" bestFit="1" customWidth="1"/>
    <col min="6" max="6" width="12.28515625" bestFit="1" customWidth="1"/>
  </cols>
  <sheetData>
    <row r="2" spans="2:8" ht="21" x14ac:dyDescent="0.35">
      <c r="B2" s="1" t="s">
        <v>3</v>
      </c>
      <c r="C2" s="1"/>
      <c r="D2" s="1"/>
      <c r="G2" t="s">
        <v>4</v>
      </c>
      <c r="H2" t="s">
        <v>5</v>
      </c>
    </row>
    <row r="3" spans="2:8" x14ac:dyDescent="0.25">
      <c r="B3" t="s">
        <v>0</v>
      </c>
      <c r="C3" t="s">
        <v>1</v>
      </c>
      <c r="D3" t="s">
        <v>6</v>
      </c>
      <c r="E3" t="s">
        <v>7</v>
      </c>
      <c r="F3" t="s">
        <v>2</v>
      </c>
      <c r="G3">
        <v>15.013793177271101</v>
      </c>
      <c r="H3">
        <f>1/G3</f>
        <v>6.6605419975670627E-2</v>
      </c>
    </row>
    <row r="4" spans="2:8" x14ac:dyDescent="0.25">
      <c r="B4">
        <v>0.1</v>
      </c>
      <c r="C4">
        <v>6.6605419975670627E-2</v>
      </c>
      <c r="D4">
        <v>4.3924285923877502</v>
      </c>
      <c r="E4">
        <f>Tabelle1[[#This Row],[Phase in rad]]-ROUND(Tabelle1[[#This Row],[Phase in rad]]/2/PI(),0)*2*PI()</f>
        <v>-1.890756714791836</v>
      </c>
      <c r="F4" s="2">
        <f>Tabelle1[[#This Row],[Phase in rad +-pi]]/PI()*180</f>
        <v>-108.33237984359292</v>
      </c>
    </row>
    <row r="5" spans="2:8" x14ac:dyDescent="0.25">
      <c r="B5">
        <v>0.2</v>
      </c>
      <c r="C5">
        <v>6.6605419975670627E-2</v>
      </c>
      <c r="D5">
        <v>3.1829281630863302</v>
      </c>
      <c r="E5">
        <f>Tabelle1[[#This Row],[Phase in rad]]-ROUND(Tabelle1[[#This Row],[Phase in rad]]/2/PI(),0)*2*PI()</f>
        <v>-3.100257144093256</v>
      </c>
      <c r="F5" s="2">
        <f>Tabelle1[[#This Row],[Phase in rad +-pi]]/PI()*180</f>
        <v>-177.63164976182549</v>
      </c>
    </row>
    <row r="6" spans="2:8" x14ac:dyDescent="0.25">
      <c r="B6">
        <v>0.30000000000000004</v>
      </c>
      <c r="C6">
        <v>6.6605419975670627E-2</v>
      </c>
      <c r="D6">
        <v>18.098903631387</v>
      </c>
      <c r="E6">
        <f>Tabelle1[[#This Row],[Phase in rad]]-ROUND(Tabelle1[[#This Row],[Phase in rad]]/2/PI(),0)*2*PI()</f>
        <v>-0.75065229015175916</v>
      </c>
      <c r="F6" s="2">
        <f>Tabelle1[[#This Row],[Phase in rad +-pi]]/PI()*180</f>
        <v>-43.009208107525488</v>
      </c>
    </row>
    <row r="7" spans="2:8" x14ac:dyDescent="0.25">
      <c r="B7">
        <v>0.4</v>
      </c>
      <c r="C7">
        <v>6.6605419975670627E-2</v>
      </c>
      <c r="D7">
        <v>4.7203501487972899</v>
      </c>
      <c r="E7">
        <f>Tabelle1[[#This Row],[Phase in rad]]-ROUND(Tabelle1[[#This Row],[Phase in rad]]/2/PI(),0)*2*PI()</f>
        <v>-1.5628351583822964</v>
      </c>
      <c r="F7" s="2">
        <f>Tabelle1[[#This Row],[Phase in rad +-pi]]/PI()*180</f>
        <v>-89.543858649965145</v>
      </c>
    </row>
    <row r="8" spans="2:8" x14ac:dyDescent="0.25">
      <c r="B8">
        <v>0.60000000000000009</v>
      </c>
      <c r="C8">
        <v>6.6605419975670627E-2</v>
      </c>
      <c r="D8">
        <v>17.402345639782101</v>
      </c>
      <c r="E8">
        <f>Tabelle1[[#This Row],[Phase in rad]]-ROUND(Tabelle1[[#This Row],[Phase in rad]]/2/PI(),0)*2*PI()</f>
        <v>-1.4472102817566572</v>
      </c>
      <c r="F8" s="2">
        <f>Tabelle1[[#This Row],[Phase in rad +-pi]]/PI()*180</f>
        <v>-82.919041212595175</v>
      </c>
    </row>
    <row r="9" spans="2:8" x14ac:dyDescent="0.25">
      <c r="B9">
        <v>0.8</v>
      </c>
      <c r="C9">
        <v>6.6605419975670627E-2</v>
      </c>
      <c r="D9">
        <v>3.6773457337221802</v>
      </c>
      <c r="E9">
        <f>Tabelle1[[#This Row],[Phase in rad]]-ROUND(Tabelle1[[#This Row],[Phase in rad]]/2/PI(),0)*2*PI()</f>
        <v>-2.605839573457406</v>
      </c>
      <c r="F9" s="2">
        <f>Tabelle1[[#This Row],[Phase in rad +-pi]]/PI()*180</f>
        <v>-149.30360964728001</v>
      </c>
    </row>
    <row r="10" spans="2:8" x14ac:dyDescent="0.25">
      <c r="B10">
        <v>1</v>
      </c>
      <c r="C10">
        <v>6.6605419975670627E-2</v>
      </c>
      <c r="D10">
        <v>2.1387065965622898</v>
      </c>
      <c r="E10">
        <f>Tabelle1[[#This Row],[Phase in rad]]-ROUND(Tabelle1[[#This Row],[Phase in rad]]/2/PI(),0)*2*PI()</f>
        <v>2.1387065965622898</v>
      </c>
      <c r="F10" s="2">
        <f>Tabelle1[[#This Row],[Phase in rad +-pi]]/PI()*180</f>
        <v>122.53886159980767</v>
      </c>
    </row>
    <row r="11" spans="2:8" x14ac:dyDescent="0.25">
      <c r="B11">
        <v>1.3</v>
      </c>
      <c r="C11">
        <v>6.6605419975670627E-2</v>
      </c>
      <c r="D11">
        <v>5.5263428888026196</v>
      </c>
      <c r="E11">
        <f>Tabelle1[[#This Row],[Phase in rad]]-ROUND(Tabelle1[[#This Row],[Phase in rad]]/2/PI(),0)*2*PI()</f>
        <v>-0.75684241837696664</v>
      </c>
      <c r="F11" s="2">
        <f>Tabelle1[[#This Row],[Phase in rad +-pi]]/PI()*180</f>
        <v>-43.363876329474685</v>
      </c>
    </row>
    <row r="12" spans="2:8" x14ac:dyDescent="0.25">
      <c r="B12">
        <v>2</v>
      </c>
      <c r="C12">
        <v>6.6605419975670627E-2</v>
      </c>
      <c r="D12">
        <v>2.2016872241969301</v>
      </c>
      <c r="E12">
        <f>Tabelle1[[#This Row],[Phase in rad]]-ROUND(Tabelle1[[#This Row],[Phase in rad]]/2/PI(),0)*2*PI()</f>
        <v>2.2016872241969301</v>
      </c>
      <c r="F12" s="2">
        <f>Tabelle1[[#This Row],[Phase in rad +-pi]]/PI()*180</f>
        <v>126.14738575435756</v>
      </c>
    </row>
    <row r="13" spans="2:8" x14ac:dyDescent="0.25">
      <c r="B13">
        <v>2.8000000000000003</v>
      </c>
      <c r="C13">
        <v>6.6605419975670627E-2</v>
      </c>
      <c r="D13">
        <v>0.75159073435602697</v>
      </c>
      <c r="E13">
        <f>Tabelle1[[#This Row],[Phase in rad]]-ROUND(Tabelle1[[#This Row],[Phase in rad]]/2/PI(),0)*2*PI()</f>
        <v>0.75159073435602697</v>
      </c>
      <c r="F13" s="2">
        <f>Tabelle1[[#This Row],[Phase in rad +-pi]]/PI()*180</f>
        <v>43.062976999738552</v>
      </c>
    </row>
    <row r="14" spans="2:8" x14ac:dyDescent="0.25">
      <c r="B14">
        <v>4.1000000000000005</v>
      </c>
      <c r="C14">
        <v>6.6605419975670627E-2</v>
      </c>
      <c r="D14">
        <v>1.0217196653498799</v>
      </c>
      <c r="E14">
        <f>Tabelle1[[#This Row],[Phase in rad]]-ROUND(Tabelle1[[#This Row],[Phase in rad]]/2/PI(),0)*2*PI()</f>
        <v>1.0217196653498799</v>
      </c>
      <c r="F14" s="2">
        <f>Tabelle1[[#This Row],[Phase in rad +-pi]]/PI()*180</f>
        <v>58.540224670066976</v>
      </c>
    </row>
    <row r="15" spans="2:8" x14ac:dyDescent="0.25">
      <c r="B15">
        <v>5.9</v>
      </c>
      <c r="C15">
        <v>6.6605419975670627E-2</v>
      </c>
      <c r="D15">
        <v>4.1167125048936102</v>
      </c>
      <c r="E15">
        <f>Tabelle1[[#This Row],[Phase in rad]]-ROUND(Tabelle1[[#This Row],[Phase in rad]]/2/PI(),0)*2*PI()</f>
        <v>-2.1664728022859761</v>
      </c>
      <c r="F15" s="2">
        <f>Tabelle1[[#This Row],[Phase in rad +-pi]]/PI()*180</f>
        <v>-124.12974800086687</v>
      </c>
    </row>
    <row r="16" spans="2:8" x14ac:dyDescent="0.25">
      <c r="B16">
        <v>8.6</v>
      </c>
      <c r="C16">
        <v>6.6605419975670627E-2</v>
      </c>
      <c r="D16">
        <v>4.2757027552701397</v>
      </c>
      <c r="E16">
        <f>Tabelle1[[#This Row],[Phase in rad]]-ROUND(Tabelle1[[#This Row],[Phase in rad]]/2/PI(),0)*2*PI()</f>
        <v>-2.0074825519094466</v>
      </c>
      <c r="F16" s="2">
        <f>Tabelle1[[#This Row],[Phase in rad +-pi]]/PI()*180</f>
        <v>-115.02027767056349</v>
      </c>
    </row>
    <row r="17" spans="2:6" x14ac:dyDescent="0.25">
      <c r="B17">
        <v>12.5</v>
      </c>
      <c r="C17">
        <v>6.6605419975670627E-2</v>
      </c>
      <c r="D17">
        <v>17.734316708210599</v>
      </c>
      <c r="E17">
        <f>Tabelle1[[#This Row],[Phase in rad]]-ROUND(Tabelle1[[#This Row],[Phase in rad]]/2/PI(),0)*2*PI()</f>
        <v>-1.1152392133281595</v>
      </c>
      <c r="F17" s="2">
        <f>Tabelle1[[#This Row],[Phase in rad +-pi]]/PI()*180</f>
        <v>-63.89850007119361</v>
      </c>
    </row>
    <row r="18" spans="2:6" x14ac:dyDescent="0.25">
      <c r="B18">
        <v>18.100000000000001</v>
      </c>
      <c r="C18">
        <v>6.6605419975670627E-2</v>
      </c>
      <c r="D18">
        <v>4.7459256272244303</v>
      </c>
      <c r="E18">
        <f>Tabelle1[[#This Row],[Phase in rad]]-ROUND(Tabelle1[[#This Row],[Phase in rad]]/2/PI(),0)*2*PI()</f>
        <v>-1.5372596799551559</v>
      </c>
      <c r="F18" s="2">
        <f>Tabelle1[[#This Row],[Phase in rad +-pi]]/PI()*180</f>
        <v>-88.078491677062118</v>
      </c>
    </row>
    <row r="19" spans="2:6" x14ac:dyDescent="0.25">
      <c r="B19">
        <v>26.3</v>
      </c>
      <c r="C19">
        <v>6.6605419975670627E-2</v>
      </c>
      <c r="D19">
        <v>4.5508206826773696</v>
      </c>
      <c r="E19">
        <f>Tabelle1[[#This Row],[Phase in rad]]-ROUND(Tabelle1[[#This Row],[Phase in rad]]/2/PI(),0)*2*PI()</f>
        <v>-1.7323646245022166</v>
      </c>
      <c r="F19" s="2">
        <f>Tabelle1[[#This Row],[Phase in rad +-pi]]/PI()*180</f>
        <v>-99.257181561742655</v>
      </c>
    </row>
    <row r="20" spans="2:6" x14ac:dyDescent="0.25">
      <c r="B20">
        <v>38.1</v>
      </c>
      <c r="C20">
        <v>6.6605419975670627E-2</v>
      </c>
      <c r="D20">
        <v>4.0612706199076101</v>
      </c>
      <c r="E20">
        <f>Tabelle1[[#This Row],[Phase in rad]]-ROUND(Tabelle1[[#This Row],[Phase in rad]]/2/PI(),0)*2*PI()</f>
        <v>-2.2219146872719762</v>
      </c>
      <c r="F20" s="2">
        <f>Tabelle1[[#This Row],[Phase in rad +-pi]]/PI()*180</f>
        <v>-127.3063340188144</v>
      </c>
    </row>
    <row r="21" spans="2:6" x14ac:dyDescent="0.25">
      <c r="B21">
        <v>55.2</v>
      </c>
      <c r="C21">
        <v>6.6605419975670627E-2</v>
      </c>
      <c r="D21">
        <v>2.8037595072793202</v>
      </c>
      <c r="E21">
        <f>Tabelle1[[#This Row],[Phase in rad]]-ROUND(Tabelle1[[#This Row],[Phase in rad]]/2/PI(),0)*2*PI()</f>
        <v>2.8037595072793202</v>
      </c>
      <c r="F21" s="2">
        <f>Tabelle1[[#This Row],[Phase in rad +-pi]]/PI()*180</f>
        <v>160.64358653678426</v>
      </c>
    </row>
    <row r="22" spans="2:6" x14ac:dyDescent="0.25">
      <c r="B22">
        <v>80</v>
      </c>
      <c r="C22">
        <v>6.6605419975670627E-2</v>
      </c>
      <c r="D22">
        <v>3.0733742055962998</v>
      </c>
      <c r="E22">
        <f>Tabelle1[[#This Row],[Phase in rad]]-ROUND(Tabelle1[[#This Row],[Phase in rad]]/2/PI(),0)*2*PI()</f>
        <v>3.0733742055962998</v>
      </c>
      <c r="F22" s="2">
        <f>Tabelle1[[#This Row],[Phase in rad +-pi]]/PI()*180</f>
        <v>176.09137084504013</v>
      </c>
    </row>
    <row r="23" spans="2:6" x14ac:dyDescent="0.25">
      <c r="B23">
        <v>116</v>
      </c>
      <c r="C23">
        <v>6.6605419975670627E-2</v>
      </c>
      <c r="D23">
        <v>17.2366552032505</v>
      </c>
      <c r="E23">
        <f>Tabelle1[[#This Row],[Phase in rad]]-ROUND(Tabelle1[[#This Row],[Phase in rad]]/2/PI(),0)*2*PI()</f>
        <v>-1.6129007182882589</v>
      </c>
      <c r="F23" s="2">
        <f>Tabelle1[[#This Row],[Phase in rad +-pi]]/PI()*180</f>
        <v>-92.41240393153619</v>
      </c>
    </row>
    <row r="24" spans="2:6" x14ac:dyDescent="0.25">
      <c r="B24">
        <v>168.20000000000002</v>
      </c>
      <c r="C24">
        <v>6.6605419975670627E-2</v>
      </c>
      <c r="D24">
        <v>4.9963883350950598</v>
      </c>
      <c r="E24">
        <f>Tabelle1[[#This Row],[Phase in rad]]-ROUND(Tabelle1[[#This Row],[Phase in rad]]/2/PI(),0)*2*PI()</f>
        <v>-1.2867969720845265</v>
      </c>
      <c r="F24" s="2">
        <f>Tabelle1[[#This Row],[Phase in rad +-pi]]/PI()*180</f>
        <v>-73.728035590656972</v>
      </c>
    </row>
    <row r="25" spans="2:6" x14ac:dyDescent="0.25">
      <c r="B25">
        <v>243.8</v>
      </c>
      <c r="C25">
        <v>6.6605419975670627E-2</v>
      </c>
      <c r="D25">
        <v>4.5911338356971196</v>
      </c>
      <c r="E25">
        <f>Tabelle1[[#This Row],[Phase in rad]]-ROUND(Tabelle1[[#This Row],[Phase in rad]]/2/PI(),0)*2*PI()</f>
        <v>-1.6920514714824666</v>
      </c>
      <c r="F25" s="2">
        <f>Tabelle1[[#This Row],[Phase in rad +-pi]]/PI()*180</f>
        <v>-96.947408034845893</v>
      </c>
    </row>
    <row r="26" spans="2:6" x14ac:dyDescent="0.25">
      <c r="B26">
        <v>353.5</v>
      </c>
      <c r="C26">
        <v>6.6605419975670627E-2</v>
      </c>
      <c r="D26">
        <v>2.1478907726869001</v>
      </c>
      <c r="E26">
        <f>Tabelle1[[#This Row],[Phase in rad]]-ROUND(Tabelle1[[#This Row],[Phase in rad]]/2/PI(),0)*2*PI()</f>
        <v>2.1478907726869001</v>
      </c>
      <c r="F26" s="2">
        <f>Tabelle1[[#This Row],[Phase in rad +-pi]]/PI()*180</f>
        <v>123.06507613005265</v>
      </c>
    </row>
    <row r="27" spans="2:6" x14ac:dyDescent="0.25">
      <c r="B27">
        <v>512.5</v>
      </c>
      <c r="C27">
        <v>6.6605419975670627E-2</v>
      </c>
      <c r="D27">
        <v>2.7727033251385</v>
      </c>
      <c r="E27">
        <f>Tabelle1[[#This Row],[Phase in rad]]-ROUND(Tabelle1[[#This Row],[Phase in rad]]/2/PI(),0)*2*PI()</f>
        <v>2.7727033251385</v>
      </c>
      <c r="F27" s="2">
        <f>Tabelle1[[#This Row],[Phase in rad +-pi]]/PI()*180</f>
        <v>158.86419837232572</v>
      </c>
    </row>
    <row r="28" spans="2:6" x14ac:dyDescent="0.25">
      <c r="B28">
        <v>743</v>
      </c>
      <c r="C28">
        <v>6.6605419975670627E-2</v>
      </c>
      <c r="D28">
        <v>0.218719925265177</v>
      </c>
      <c r="E28">
        <f>Tabelle1[[#This Row],[Phase in rad]]-ROUND(Tabelle1[[#This Row],[Phase in rad]]/2/PI(),0)*2*PI()</f>
        <v>0.218719925265177</v>
      </c>
      <c r="F28" s="2">
        <f>Tabelle1[[#This Row],[Phase in rad +-pi]]/PI()*180</f>
        <v>12.531728613111426</v>
      </c>
    </row>
    <row r="29" spans="2:6" x14ac:dyDescent="0.25">
      <c r="B29">
        <v>1077.1000000000001</v>
      </c>
      <c r="C29">
        <v>6.6605419975670627E-2</v>
      </c>
      <c r="D29">
        <v>4.72042121581923</v>
      </c>
      <c r="E29">
        <f>Tabelle1[[#This Row],[Phase in rad]]-ROUND(Tabelle1[[#This Row],[Phase in rad]]/2/PI(),0)*2*PI()</f>
        <v>-1.5627640913603562</v>
      </c>
      <c r="F29" s="2">
        <f>Tabelle1[[#This Row],[Phase in rad +-pi]]/PI()*180</f>
        <v>-89.539786809545419</v>
      </c>
    </row>
    <row r="30" spans="2:6" x14ac:dyDescent="0.25">
      <c r="B30">
        <v>1561.5</v>
      </c>
      <c r="C30">
        <v>6.6605419975670627E-2</v>
      </c>
      <c r="D30">
        <v>1.99245582918894</v>
      </c>
      <c r="E30">
        <f>Tabelle1[[#This Row],[Phase in rad]]-ROUND(Tabelle1[[#This Row],[Phase in rad]]/2/PI(),0)*2*PI()</f>
        <v>1.99245582918894</v>
      </c>
      <c r="F30" s="2">
        <f>Tabelle1[[#This Row],[Phase in rad +-pi]]/PI()*180</f>
        <v>114.15930987876513</v>
      </c>
    </row>
    <row r="31" spans="2:6" x14ac:dyDescent="0.25">
      <c r="B31">
        <v>2263.8000000000002</v>
      </c>
      <c r="C31">
        <v>6.6605419975670627E-2</v>
      </c>
      <c r="D31">
        <v>4.2678366042644802</v>
      </c>
      <c r="E31">
        <f>Tabelle1[[#This Row],[Phase in rad]]-ROUND(Tabelle1[[#This Row],[Phase in rad]]/2/PI(),0)*2*PI()</f>
        <v>-2.015348702915106</v>
      </c>
      <c r="F31" s="2">
        <f>Tabelle1[[#This Row],[Phase in rad +-pi]]/PI()*180</f>
        <v>-115.47097492420036</v>
      </c>
    </row>
    <row r="32" spans="2:6" x14ac:dyDescent="0.25">
      <c r="B32">
        <v>3281.9</v>
      </c>
      <c r="C32">
        <v>6.6605419975670627E-2</v>
      </c>
      <c r="D32">
        <v>6.3301881280280599</v>
      </c>
      <c r="E32">
        <f>Tabelle1[[#This Row],[Phase in rad]]-ROUND(Tabelle1[[#This Row],[Phase in rad]]/2/PI(),0)*2*PI()</f>
        <v>4.7002820848473625E-2</v>
      </c>
      <c r="F32" s="2">
        <f>Tabelle1[[#This Row],[Phase in rad +-pi]]/PI()*180</f>
        <v>2.6930632598270536</v>
      </c>
    </row>
    <row r="33" spans="2:6" x14ac:dyDescent="0.25">
      <c r="B33">
        <v>4757.9000000000005</v>
      </c>
      <c r="C33">
        <v>6.6605419975670627E-2</v>
      </c>
      <c r="D33">
        <v>1.6727969807212599</v>
      </c>
      <c r="E33">
        <f>Tabelle1[[#This Row],[Phase in rad]]-ROUND(Tabelle1[[#This Row],[Phase in rad]]/2/PI(),0)*2*PI()</f>
        <v>1.6727969807212599</v>
      </c>
      <c r="F33" s="2">
        <f>Tabelle1[[#This Row],[Phase in rad +-pi]]/PI()*180</f>
        <v>95.844206977555132</v>
      </c>
    </row>
    <row r="34" spans="2:6" x14ac:dyDescent="0.25">
      <c r="B34">
        <v>6897.8</v>
      </c>
      <c r="C34">
        <v>6.6605419975670627E-2</v>
      </c>
      <c r="D34">
        <v>0.32367273916321598</v>
      </c>
      <c r="E34">
        <f>Tabelle1[[#This Row],[Phase in rad]]-ROUND(Tabelle1[[#This Row],[Phase in rad]]/2/PI(),0)*2*PI()</f>
        <v>0.32367273916321598</v>
      </c>
      <c r="F34" s="2">
        <f>Tabelle1[[#This Row],[Phase in rad +-pi]]/PI()*180</f>
        <v>18.545081897491027</v>
      </c>
    </row>
    <row r="35" spans="2:6" x14ac:dyDescent="0.25">
      <c r="B35">
        <v>10000</v>
      </c>
      <c r="C35">
        <v>6.6605419975670599E-2</v>
      </c>
      <c r="D35">
        <v>16.977873469389099</v>
      </c>
      <c r="E35">
        <f>Tabelle1[[#This Row],[Phase in rad]]-ROUND(Tabelle1[[#This Row],[Phase in rad]]/2/PI(),0)*2*PI()</f>
        <v>-1.8716824521496598</v>
      </c>
      <c r="F35" s="2">
        <f>Tabelle1[[#This Row],[Phase in rad +-pi]]/PI()*180</f>
        <v>-107.23950509687215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Blömeke, Alexander</dc:creator>
  <cp:lastModifiedBy>Blömeke, Alexander</cp:lastModifiedBy>
  <dcterms:created xsi:type="dcterms:W3CDTF">2022-01-14T14:41:19Z</dcterms:created>
  <dcterms:modified xsi:type="dcterms:W3CDTF">2022-01-14T16:07:08Z</dcterms:modified>
</cp:coreProperties>
</file>