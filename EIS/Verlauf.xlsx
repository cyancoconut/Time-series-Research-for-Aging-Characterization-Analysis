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Data\Git\futavis_analysis\EIS\"/>
    </mc:Choice>
  </mc:AlternateContent>
  <xr:revisionPtr revIDLastSave="0" documentId="13_ncr:1_{262502E8-DD5C-4140-B978-E242F5FD8A89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Kapazität" sheetId="1" r:id="rId1"/>
    <sheet name="Leistungen" sheetId="2" r:id="rId2"/>
    <sheet name="Dynamische Kapazität 25°C" sheetId="3" r:id="rId3"/>
    <sheet name="Zyklenanzahl" sheetId="4" r:id="rId4"/>
    <sheet name="Dynamische Kapazität 45°C" sheetId="6" r:id="rId5"/>
    <sheet name="Tabelle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5" l="1"/>
  <c r="M13" i="5"/>
  <c r="O13" i="5" s="1"/>
  <c r="L13" i="5"/>
  <c r="K13" i="5"/>
  <c r="J13" i="5"/>
  <c r="N12" i="5"/>
  <c r="M12" i="5"/>
  <c r="L12" i="5"/>
  <c r="K12" i="5"/>
  <c r="J12" i="5"/>
  <c r="O12" i="5" s="1"/>
  <c r="U6" i="5"/>
  <c r="T6" i="5"/>
  <c r="S6" i="5"/>
  <c r="R6" i="5"/>
  <c r="Q6" i="5"/>
  <c r="P6" i="5"/>
  <c r="I6" i="5"/>
  <c r="H6" i="5"/>
  <c r="G6" i="5"/>
  <c r="F6" i="5"/>
  <c r="E6" i="5"/>
  <c r="J6" i="5" s="1"/>
  <c r="U5" i="5"/>
  <c r="T5" i="5"/>
  <c r="S5" i="5"/>
  <c r="R5" i="5"/>
  <c r="Q5" i="5"/>
  <c r="P5" i="5"/>
  <c r="I5" i="5"/>
  <c r="H5" i="5"/>
  <c r="G5" i="5"/>
  <c r="F5" i="5"/>
  <c r="E5" i="5"/>
  <c r="J5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EEAA1-79F5-46B4-8C73-A268F10F9AB9}" keepAlive="1" name="Abfrage - J7045_Futavis_Modultests_Zelltests=DDO-FUTAVIS-CELL-NR3-LFP-50AH=Zyklus 6=Zy (2)" description="Verbindung mit der Abfrage 'J7045_Futavis_Modultests_Zelltests=DDO-FUTAVIS-CELL-NR3-LFP-50AH=Zyklus 6=Zy (2)' in der Arbeitsmappe." type="5" refreshedVersion="7" background="1" saveData="1">
    <dbPr connection="Provider=Microsoft.Mashup.OleDb.1;Data Source=$Workbook$;Location=&quot;J7045_Futavis_Modultests_Zelltests=DDO-FUTAVIS-CELL-NR3-LFP-50AH=Zyklus 6=Zy (2)&quot;;Extended Properties=&quot;&quot;" command="SELECT * FROM [J7045_Futavis_Modultests_Zelltests=DDO-FUTAVIS-CELL-NR3-LFP-50AH=Zyklus 6=Zy (2)]"/>
  </connection>
  <connection id="2" xr16:uid="{7F3D5515-F37E-40BC-840D-086878B99330}" keepAlive="1" name="Abfrage - J7045_Futavis_Modultests_Zelltests=DDO-FUTAVIS-CELL-NR3-LFP-50AH=Zyklus 6=Zyklis" description="Verbindung mit der Abfrage 'J7045_Futavis_Modultests_Zelltests=DDO-FUTAVIS-CELL-NR3-LFP-50AH=Zyklus 6=Zyklis' in der Arbeitsmappe." type="5" refreshedVersion="0" background="1">
    <dbPr connection="Provider=Microsoft.Mashup.OleDb.1;Data Source=$Workbook$;Location=&quot;J7045_Futavis_Modultests_Zelltests=DDO-FUTAVIS-CELL-NR3-LFP-50AH=Zyklus 6=Zyklis&quot;;Extended Properties=&quot;&quot;" command="SELECT * FROM [J7045_Futavis_Modultests_Zelltests=DDO-FUTAVIS-CELL-NR3-LFP-50AH=Zyklus 6=Zyklis]"/>
  </connection>
</connections>
</file>

<file path=xl/sharedStrings.xml><?xml version="1.0" encoding="utf-8"?>
<sst xmlns="http://schemas.openxmlformats.org/spreadsheetml/2006/main" count="297" uniqueCount="55">
  <si>
    <t>Gruppe</t>
  </si>
  <si>
    <t>Cell-Name</t>
  </si>
  <si>
    <t>Kapazität [Ah]</t>
  </si>
  <si>
    <t>Initial</t>
  </si>
  <si>
    <t>Check-up 1</t>
  </si>
  <si>
    <t>Check-up 2</t>
  </si>
  <si>
    <t>Zyklische Tests</t>
  </si>
  <si>
    <t xml:space="preserve">Extremes Profil: 45°C </t>
  </si>
  <si>
    <t>Kundenspezifisches Profil: 45°C</t>
  </si>
  <si>
    <t>Kundenspezifisches Profil: 25°C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</si>
  <si>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</si>
  <si>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</si>
  <si>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</si>
  <si>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</si>
  <si>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</si>
  <si>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</si>
  <si>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</si>
  <si>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</si>
  <si>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15</t>
  </si>
  <si>
    <t>Cell 1</t>
  </si>
  <si>
    <t>Cell 2</t>
  </si>
  <si>
    <t>Cell 14</t>
  </si>
  <si>
    <t>Cell 16</t>
  </si>
  <si>
    <t>Cell 3</t>
  </si>
  <si>
    <t>Cell 4</t>
  </si>
  <si>
    <t>Leistung [W]</t>
  </si>
  <si>
    <t>Pc</t>
  </si>
  <si>
    <t>Pd</t>
  </si>
  <si>
    <t>Check-up 3</t>
  </si>
  <si>
    <t>Check-up 4</t>
  </si>
  <si>
    <t>Check-up 5</t>
  </si>
  <si>
    <t>Profil-1</t>
  </si>
  <si>
    <t>Profil-2</t>
  </si>
  <si>
    <t>Extrem</t>
  </si>
  <si>
    <t>Check-up 6</t>
  </si>
  <si>
    <t>Check-up 7</t>
  </si>
  <si>
    <t>Check-up 8</t>
  </si>
  <si>
    <t>Check-up 9</t>
  </si>
  <si>
    <t>Check-up 10</t>
  </si>
  <si>
    <t>Check-up 11</t>
  </si>
  <si>
    <t>Check-up 12</t>
  </si>
  <si>
    <t>Check-up 13</t>
  </si>
  <si>
    <t>Check-up 14</t>
  </si>
  <si>
    <t>Check-up 15</t>
  </si>
  <si>
    <t>Check-up 16</t>
  </si>
  <si>
    <t>Check-up 17</t>
  </si>
  <si>
    <t>Zyklenzahlen</t>
  </si>
  <si>
    <t>Extremes Profil: 45°C</t>
  </si>
  <si>
    <t>Aktuelle Kapazität im Vergleich zur…</t>
  </si>
  <si>
    <t>⌀</t>
  </si>
  <si>
    <t>Nominalkapazität</t>
  </si>
  <si>
    <t>Kapazität der letzten CU</t>
  </si>
  <si>
    <t>Anfangskapazität</t>
  </si>
  <si>
    <t>6 Monate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</si>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</sst>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rgb="FF0062AC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62AC"/>
      </left>
      <right/>
      <top style="thin">
        <color rgb="FF0062AC"/>
      </top>
      <bottom/>
      <diagonal/>
    </border>
    <border>
      <left/>
      <right/>
      <top style="thin">
        <color rgb="FF0062AC"/>
      </top>
      <bottom/>
      <diagonal/>
    </border>
    <border>
      <left/>
      <right style="thin">
        <color rgb="FF0062AC"/>
      </right>
      <top style="thin">
        <color rgb="FF0062AC"/>
      </top>
      <bottom/>
      <diagonal/>
    </border>
    <border>
      <left style="thin">
        <color rgb="FF0062AC"/>
      </left>
      <right/>
      <top/>
      <bottom/>
      <diagonal/>
    </border>
    <border>
      <left/>
      <right style="thin">
        <color rgb="FF0062AC"/>
      </right>
      <top/>
      <bottom/>
      <diagonal/>
    </border>
    <border>
      <left style="thin">
        <color rgb="FF0062AC"/>
      </left>
      <right/>
      <top/>
      <bottom style="thin">
        <color rgb="FF0062AC"/>
      </bottom>
      <diagonal/>
    </border>
    <border>
      <left/>
      <right/>
      <top/>
      <bottom style="thin">
        <color rgb="FF0062AC"/>
      </bottom>
      <diagonal/>
    </border>
    <border>
      <left/>
      <right style="thin">
        <color rgb="FF0062AC"/>
      </right>
      <top/>
      <bottom style="thin">
        <color rgb="FF0062AC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10"/>
    <xf numFmtId="43" fontId="1" fillId="0" borderId="10" applyFont="0" applyFill="0" applyBorder="0" applyAlignment="0" applyProtection="0"/>
    <xf numFmtId="0" fontId="3" fillId="0" borderId="10"/>
  </cellStyleXfs>
  <cellXfs count="67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6" xfId="0" applyFill="1" applyBorder="1"/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12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2" fillId="12" borderId="1" xfId="0" applyNumberFormat="1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/>
    </xf>
    <xf numFmtId="0" fontId="2" fillId="13" borderId="1" xfId="0" applyNumberFormat="1" applyFont="1" applyFill="1" applyBorder="1" applyAlignment="1">
      <alignment horizontal="center" vertical="center"/>
    </xf>
    <xf numFmtId="0" fontId="2" fillId="14" borderId="1" xfId="0" applyNumberFormat="1" applyFont="1" applyFill="1" applyBorder="1" applyAlignment="1">
      <alignment horizontal="center" vertical="center"/>
    </xf>
    <xf numFmtId="0" fontId="0" fillId="12" borderId="1" xfId="0" applyNumberFormat="1" applyFill="1" applyBorder="1" applyAlignment="1">
      <alignment horizontal="center" vertical="center"/>
    </xf>
    <xf numFmtId="0" fontId="0" fillId="13" borderId="1" xfId="0" applyNumberFormat="1" applyFill="1" applyBorder="1" applyAlignment="1">
      <alignment horizontal="center" vertical="center"/>
    </xf>
    <xf numFmtId="0" fontId="0" fillId="14" borderId="1" xfId="0" applyNumberFormat="1" applyFill="1" applyBorder="1" applyAlignment="1">
      <alignment horizontal="center" vertical="center"/>
    </xf>
    <xf numFmtId="0" fontId="0" fillId="0" borderId="0" xfId="0" applyNumberFormat="1"/>
    <xf numFmtId="2" fontId="0" fillId="14" borderId="1" xfId="0" applyNumberFormat="1" applyFont="1" applyFill="1" applyBorder="1" applyAlignment="1">
      <alignment horizontal="center" vertical="center"/>
    </xf>
    <xf numFmtId="0" fontId="0" fillId="14" borderId="1" xfId="0" applyNumberFormat="1" applyFont="1" applyFill="1" applyBorder="1" applyAlignment="1">
      <alignment horizontal="center" vertical="center"/>
    </xf>
    <xf numFmtId="0" fontId="1" fillId="0" borderId="10" xfId="3"/>
    <xf numFmtId="0" fontId="5" fillId="0" borderId="10" xfId="3" applyFont="1" applyBorder="1" applyAlignment="1">
      <alignment horizontal="center"/>
    </xf>
    <xf numFmtId="10" fontId="1" fillId="0" borderId="10" xfId="3" applyNumberFormat="1" applyBorder="1"/>
    <xf numFmtId="0" fontId="5" fillId="0" borderId="15" xfId="3" applyFont="1" applyBorder="1" applyAlignment="1">
      <alignment horizontal="center" vertical="center"/>
    </xf>
    <xf numFmtId="10" fontId="1" fillId="0" borderId="15" xfId="3" applyNumberFormat="1" applyBorder="1"/>
    <xf numFmtId="10" fontId="1" fillId="0" borderId="17" xfId="3" applyNumberFormat="1" applyBorder="1"/>
    <xf numFmtId="10" fontId="1" fillId="0" borderId="18" xfId="3" applyNumberFormat="1" applyBorder="1"/>
    <xf numFmtId="0" fontId="0" fillId="0" borderId="12" xfId="0" applyBorder="1"/>
    <xf numFmtId="0" fontId="0" fillId="3" borderId="1" xfId="0" applyFill="1" applyBorder="1" applyAlignment="1">
      <alignment horizontal="center" vertical="center"/>
    </xf>
    <xf numFmtId="43" fontId="0" fillId="2" borderId="2" xfId="1" applyFont="1" applyFill="1" applyBorder="1" applyAlignment="1">
      <alignment horizontal="center" vertical="center"/>
    </xf>
    <xf numFmtId="43" fontId="0" fillId="2" borderId="9" xfId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2" fontId="0" fillId="7" borderId="5" xfId="0" applyNumberForma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2" fontId="0" fillId="8" borderId="5" xfId="0" applyNumberFormat="1" applyFill="1" applyBorder="1" applyAlignment="1">
      <alignment horizontal="center"/>
    </xf>
    <xf numFmtId="2" fontId="0" fillId="8" borderId="4" xfId="0" applyNumberFormat="1" applyFill="1" applyBorder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9" borderId="5" xfId="0" applyNumberFormat="1" applyFill="1" applyBorder="1" applyAlignment="1">
      <alignment horizontal="center"/>
    </xf>
    <xf numFmtId="2" fontId="0" fillId="9" borderId="4" xfId="0" applyNumberFormat="1" applyFill="1" applyBorder="1" applyAlignment="1">
      <alignment horizontal="center"/>
    </xf>
    <xf numFmtId="43" fontId="0" fillId="2" borderId="2" xfId="1" applyFont="1" applyFill="1" applyBorder="1" applyAlignment="1">
      <alignment horizontal="center"/>
    </xf>
    <xf numFmtId="43" fontId="0" fillId="2" borderId="0" xfId="1" applyFon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2" fontId="0" fillId="11" borderId="0" xfId="0" applyNumberFormat="1" applyFill="1" applyBorder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7" borderId="3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/>
    </xf>
    <xf numFmtId="0" fontId="5" fillId="0" borderId="16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4" xfId="3" applyFont="1" applyBorder="1" applyAlignment="1">
      <alignment horizontal="left"/>
    </xf>
    <xf numFmtId="0" fontId="5" fillId="0" borderId="10" xfId="3" applyFont="1" applyBorder="1" applyAlignment="1">
      <alignment horizontal="left"/>
    </xf>
    <xf numFmtId="0" fontId="1" fillId="0" borderId="14" xfId="3" applyBorder="1" applyAlignment="1">
      <alignment horizontal="left"/>
    </xf>
    <xf numFmtId="0" fontId="1" fillId="0" borderId="10" xfId="3" applyBorder="1" applyAlignment="1">
      <alignment horizontal="left"/>
    </xf>
    <xf numFmtId="0" fontId="5" fillId="0" borderId="11" xfId="3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0" fontId="5" fillId="0" borderId="13" xfId="3" applyFont="1" applyBorder="1" applyAlignment="1">
      <alignment horizontal="center"/>
    </xf>
  </cellXfs>
  <cellStyles count="6">
    <cellStyle name="Comma" xfId="1" builtinId="3"/>
    <cellStyle name="Komma 2" xfId="4" xr:uid="{00000000-0005-0000-0000-000001000000}"/>
    <cellStyle name="Normal" xfId="0" builtinId="0"/>
    <cellStyle name="Standard 2" xfId="2" xr:uid="{00000000-0005-0000-0000-000003000000}"/>
    <cellStyle name="Standard 2 2" xfId="5" xr:uid="{00000000-0005-0000-0000-000004000000}"/>
    <cellStyle name="Standard 3" xfId="3" xr:uid="{00000000-0005-0000-0000-000005000000}"/>
  </cellStyles>
  <dxfs count="0"/>
  <tableStyles count="0" defaultTableStyle="TableStyleMedium2" defaultPivotStyle="PivotStyleLight16"/>
  <colors>
    <mruColors>
      <color rgb="FF0062AC"/>
      <color rgb="FF006EC0"/>
      <color rgb="FF004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234950</xdr:colOff>
      <xdr:row>23</xdr:row>
      <xdr:rowOff>28575</xdr:rowOff>
    </xdr:from>
    <xdr:ext cx="2126608" cy="43678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07500" y="4543425"/>
          <a:ext cx="2126608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Profil-1: Kundenspezifisches Profil</a:t>
          </a:r>
          <a:endParaRPr lang="de-DE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de-DE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Profil-2</a:t>
          </a:r>
          <a:r>
            <a:rPr lang="de-DE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Extremes Profil (statisch)</a:t>
          </a:r>
          <a:endParaRPr lang="de-DE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8"/>
  <sheetViews>
    <sheetView workbookViewId="0">
      <selection activeCell="B19" sqref="B19:B22"/>
    </sheetView>
  </sheetViews>
  <sheetFormatPr defaultColWidth="11.42578125" defaultRowHeight="15" x14ac:dyDescent="0.25"/>
  <cols>
    <col min="1" max="1" width="13.7109375" customWidth="1"/>
    <col min="2" max="2" width="11.7109375" customWidth="1"/>
    <col min="3" max="7" width="7" style="7" customWidth="1"/>
    <col min="8" max="10" width="6" style="7" customWidth="1"/>
    <col min="11" max="12" width="7" style="7" customWidth="1"/>
    <col min="13" max="17" width="5.5703125" style="7" customWidth="1"/>
  </cols>
  <sheetData>
    <row r="1" spans="2:22" x14ac:dyDescent="0.25">
      <c r="B1" s="35" t="s">
        <v>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2:22" x14ac:dyDescent="0.25">
      <c r="B2" s="1" t="s">
        <v>0</v>
      </c>
      <c r="C2" s="37" t="s">
        <v>7</v>
      </c>
      <c r="D2" s="37"/>
      <c r="E2" s="37"/>
      <c r="F2" s="37"/>
      <c r="G2" s="37"/>
      <c r="H2" s="38" t="s">
        <v>8</v>
      </c>
      <c r="I2" s="38"/>
      <c r="J2" s="38"/>
      <c r="K2" s="38"/>
      <c r="L2" s="38"/>
      <c r="M2" s="39" t="s">
        <v>9</v>
      </c>
      <c r="N2" s="39"/>
      <c r="O2" s="39"/>
      <c r="P2" s="39"/>
      <c r="Q2" s="39"/>
    </row>
    <row r="3" spans="2:22" x14ac:dyDescent="0.25">
      <c r="B3" s="1" t="s">
        <v>1</v>
      </c>
      <c r="C3" s="14" t="s">
        <v>14</v>
      </c>
      <c r="D3" s="14" t="s">
        <v>15</v>
      </c>
      <c r="E3" s="14" t="s">
        <v>16</v>
      </c>
      <c r="F3" s="14" t="s">
        <v>17</v>
      </c>
      <c r="G3" s="14" t="s">
        <v>18</v>
      </c>
      <c r="H3" s="15" t="s">
        <v>19</v>
      </c>
      <c r="I3" s="15" t="s">
        <v>20</v>
      </c>
      <c r="J3" s="15" t="s">
        <v>13</v>
      </c>
      <c r="K3" s="15" t="s">
        <v>21</v>
      </c>
      <c r="L3" s="15" t="s">
        <v>22</v>
      </c>
      <c r="M3" s="16" t="s">
        <v>23</v>
      </c>
      <c r="N3" s="16" t="s">
        <v>24</v>
      </c>
      <c r="O3" s="16" t="s">
        <v>10</v>
      </c>
      <c r="P3" s="16" t="s">
        <v>11</v>
      </c>
      <c r="Q3" s="16" t="s">
        <v>12</v>
      </c>
    </row>
    <row r="4" spans="2:22" x14ac:dyDescent="0.25">
      <c r="B4" s="40" t="s">
        <v>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2:22" x14ac:dyDescent="0.25">
      <c r="B5" s="1" t="s">
        <v>3</v>
      </c>
      <c r="C5" s="8">
        <v>52.893000000000001</v>
      </c>
      <c r="D5" s="8">
        <v>52.784999999999997</v>
      </c>
      <c r="E5" s="8">
        <v>53.182000000000002</v>
      </c>
      <c r="F5" s="8">
        <v>53.06</v>
      </c>
      <c r="G5" s="8">
        <v>52.62</v>
      </c>
      <c r="H5" s="9">
        <v>52.53</v>
      </c>
      <c r="I5" s="9">
        <v>53.02</v>
      </c>
      <c r="J5" s="9">
        <v>52.99</v>
      </c>
      <c r="K5" s="9">
        <v>52.773000000000003</v>
      </c>
      <c r="L5" s="9">
        <v>53.04</v>
      </c>
      <c r="M5" s="10">
        <v>52.19</v>
      </c>
      <c r="N5" s="10">
        <v>52.37</v>
      </c>
      <c r="O5" s="10">
        <v>52.34</v>
      </c>
      <c r="P5" s="10">
        <v>52.28</v>
      </c>
      <c r="Q5" s="10">
        <v>52</v>
      </c>
    </row>
    <row r="6" spans="2:22" x14ac:dyDescent="0.25">
      <c r="B6" s="1" t="s">
        <v>4</v>
      </c>
      <c r="C6" s="8">
        <v>50.971581999270711</v>
      </c>
      <c r="D6" s="8">
        <v>51.06</v>
      </c>
      <c r="E6" s="8">
        <v>51.34</v>
      </c>
      <c r="F6" s="8">
        <v>50.79</v>
      </c>
      <c r="G6" s="8">
        <v>51.2</v>
      </c>
      <c r="H6" s="9">
        <v>51.159885900502559</v>
      </c>
      <c r="I6" s="9">
        <v>50.385599813074805</v>
      </c>
      <c r="J6" s="9">
        <v>50.870150247472338</v>
      </c>
      <c r="K6" s="9">
        <v>51.452775900601402</v>
      </c>
      <c r="L6" s="9">
        <v>50.813917843392119</v>
      </c>
      <c r="M6" s="10">
        <v>51.271256605454255</v>
      </c>
      <c r="N6" s="10">
        <v>52.139312755083665</v>
      </c>
      <c r="O6" s="10">
        <v>51.451351818570402</v>
      </c>
      <c r="P6" s="10">
        <v>51.424777014006395</v>
      </c>
      <c r="Q6" s="10">
        <v>51.734489747788757</v>
      </c>
    </row>
    <row r="7" spans="2:22" x14ac:dyDescent="0.25">
      <c r="B7" s="1" t="s">
        <v>5</v>
      </c>
      <c r="C7" s="8">
        <v>49.942847976810299</v>
      </c>
      <c r="D7" s="8">
        <v>50.449204598437063</v>
      </c>
      <c r="E7" s="8">
        <v>50.657288412039634</v>
      </c>
      <c r="F7" s="8">
        <v>49.973285508807749</v>
      </c>
      <c r="G7" s="8">
        <v>50.331492649740539</v>
      </c>
      <c r="H7" s="9">
        <v>50.335740985057782</v>
      </c>
      <c r="I7" s="9">
        <v>49.869127743935678</v>
      </c>
      <c r="J7" s="9">
        <v>50.037679575267248</v>
      </c>
      <c r="K7" s="9">
        <v>49.99503592250403</v>
      </c>
      <c r="L7" s="9">
        <v>50.450596175796818</v>
      </c>
      <c r="M7" s="10">
        <v>50.524993995844852</v>
      </c>
      <c r="N7" s="10">
        <v>51.256011979305185</v>
      </c>
      <c r="O7" s="10">
        <v>50.784050343441777</v>
      </c>
      <c r="P7" s="10">
        <v>50.664525953296106</v>
      </c>
      <c r="Q7" s="10">
        <v>51.043166271236259</v>
      </c>
    </row>
    <row r="8" spans="2:22" x14ac:dyDescent="0.25">
      <c r="B8" s="1" t="s">
        <v>28</v>
      </c>
      <c r="C8" s="8">
        <v>49.129390483314637</v>
      </c>
      <c r="D8" s="8">
        <v>49.17600501870038</v>
      </c>
      <c r="E8" s="8">
        <v>49.640705086581875</v>
      </c>
      <c r="F8" s="8">
        <v>48.933464844420087</v>
      </c>
      <c r="G8" s="8">
        <v>48.988177555904258</v>
      </c>
      <c r="H8" s="9">
        <v>49.586929740209598</v>
      </c>
      <c r="I8" s="9">
        <v>48.842793863150291</v>
      </c>
      <c r="J8" s="9">
        <v>49.057304587913677</v>
      </c>
      <c r="K8" s="9">
        <v>48.881708405097015</v>
      </c>
      <c r="L8" s="9">
        <v>49.40273640101077</v>
      </c>
      <c r="M8" s="10">
        <v>49.89072224748088</v>
      </c>
      <c r="N8" s="10">
        <v>50.527947720256634</v>
      </c>
      <c r="O8" s="10">
        <v>50.100470350240357</v>
      </c>
      <c r="P8" s="10">
        <v>49.966224726755172</v>
      </c>
      <c r="Q8" s="10">
        <v>50.328989484813064</v>
      </c>
    </row>
    <row r="9" spans="2:22" x14ac:dyDescent="0.25">
      <c r="B9" s="1" t="s">
        <v>29</v>
      </c>
      <c r="C9" s="8">
        <v>48.420342932862695</v>
      </c>
      <c r="D9" s="8">
        <v>48.07867391477339</v>
      </c>
      <c r="E9" s="8">
        <v>48.704952009604312</v>
      </c>
      <c r="F9" s="8">
        <v>48.023194583482109</v>
      </c>
      <c r="G9" s="8">
        <v>47.967345472308807</v>
      </c>
      <c r="H9" s="9">
        <v>48.71596567844972</v>
      </c>
      <c r="I9" s="9">
        <v>48.109530454035848</v>
      </c>
      <c r="J9" s="9">
        <v>47.810726319497917</v>
      </c>
      <c r="K9" s="9">
        <v>47.770726735703647</v>
      </c>
      <c r="L9" s="9">
        <v>48.65095922088949</v>
      </c>
      <c r="M9" s="24">
        <v>49.200700057612266</v>
      </c>
      <c r="N9" s="24">
        <v>49.85437005921267</v>
      </c>
      <c r="O9" s="24">
        <v>49.455788704741281</v>
      </c>
      <c r="P9" s="24">
        <v>49.364577316271607</v>
      </c>
      <c r="Q9" s="24">
        <v>49.53336311399471</v>
      </c>
      <c r="R9" s="7"/>
      <c r="S9" s="7"/>
      <c r="T9" s="7"/>
      <c r="U9" s="7"/>
      <c r="V9" s="7"/>
    </row>
    <row r="10" spans="2:22" x14ac:dyDescent="0.25">
      <c r="B10" s="1" t="s">
        <v>30</v>
      </c>
      <c r="C10" s="8">
        <v>47.718366680608597</v>
      </c>
      <c r="D10" s="8">
        <v>47.174435414024629</v>
      </c>
      <c r="E10" s="8">
        <v>47.819172435440123</v>
      </c>
      <c r="F10" s="8">
        <v>47.230043680465315</v>
      </c>
      <c r="G10" s="8">
        <v>46.931236416450702</v>
      </c>
      <c r="H10" s="9">
        <v>47.821683074987959</v>
      </c>
      <c r="I10" s="9">
        <v>47.249144071596675</v>
      </c>
      <c r="J10" s="9">
        <v>46.527899311273359</v>
      </c>
      <c r="K10" s="9">
        <v>46.590641354676336</v>
      </c>
      <c r="L10" s="9">
        <v>47.708985322096851</v>
      </c>
      <c r="M10" s="24">
        <v>48.639677584578749</v>
      </c>
      <c r="N10" s="24">
        <v>49.244216421444435</v>
      </c>
      <c r="O10" s="24">
        <v>48.917856580868829</v>
      </c>
      <c r="P10" s="24">
        <v>48.812112752173562</v>
      </c>
      <c r="Q10" s="24">
        <v>48.92706637957599</v>
      </c>
    </row>
    <row r="11" spans="2:22" x14ac:dyDescent="0.25">
      <c r="B11" s="1" t="s">
        <v>34</v>
      </c>
      <c r="C11" s="8">
        <v>46.871584567474201</v>
      </c>
      <c r="D11" s="8">
        <v>46.116269411693793</v>
      </c>
      <c r="E11" s="8">
        <v>46.96349504502723</v>
      </c>
      <c r="F11" s="8">
        <v>46.325918714690488</v>
      </c>
      <c r="G11" s="8">
        <v>45.69265387795167</v>
      </c>
      <c r="H11" s="9">
        <v>46.756557411223184</v>
      </c>
      <c r="I11" s="9">
        <v>46.256588955002371</v>
      </c>
      <c r="J11" s="9">
        <v>44.954745743540116</v>
      </c>
      <c r="K11" s="9">
        <v>45.180644534295425</v>
      </c>
      <c r="L11" s="9">
        <v>46.479167199751828</v>
      </c>
      <c r="M11" s="24">
        <v>48.296403084008489</v>
      </c>
      <c r="N11" s="24">
        <v>48.923091227072291</v>
      </c>
      <c r="O11" s="24">
        <v>48.610336474550422</v>
      </c>
      <c r="P11" s="24">
        <v>48.470474735659081</v>
      </c>
      <c r="Q11" s="24">
        <v>48.547038166841958</v>
      </c>
    </row>
    <row r="12" spans="2:22" x14ac:dyDescent="0.25">
      <c r="B12" s="1" t="s">
        <v>35</v>
      </c>
      <c r="C12" s="8">
        <v>45.735910016868729</v>
      </c>
      <c r="D12" s="8">
        <v>44.833697546448093</v>
      </c>
      <c r="E12" s="8">
        <v>45.125062859500758</v>
      </c>
      <c r="F12" s="8">
        <v>45.934831776248757</v>
      </c>
      <c r="G12" s="8">
        <v>43.754352157469839</v>
      </c>
      <c r="H12" s="9"/>
      <c r="I12" s="9"/>
      <c r="J12" s="9"/>
      <c r="K12" s="9"/>
      <c r="L12" s="9"/>
      <c r="M12" s="24">
        <v>47.454662972479127</v>
      </c>
      <c r="N12" s="24">
        <v>48.344843393540941</v>
      </c>
      <c r="O12" s="24">
        <v>47.886634152266197</v>
      </c>
      <c r="P12" s="24">
        <v>47.769617848214693</v>
      </c>
      <c r="Q12" s="24">
        <v>47.939110153354704</v>
      </c>
    </row>
    <row r="13" spans="2:22" x14ac:dyDescent="0.25">
      <c r="B13" s="1" t="s">
        <v>36</v>
      </c>
      <c r="C13" s="8">
        <v>44.918245059961919</v>
      </c>
      <c r="D13" s="8">
        <v>43.55711294041248</v>
      </c>
      <c r="E13" s="8">
        <v>44.036600635037757</v>
      </c>
      <c r="F13" s="8">
        <v>44.90114772884408</v>
      </c>
      <c r="G13" s="8">
        <v>42.612615310470574</v>
      </c>
      <c r="H13" s="9"/>
      <c r="I13" s="9"/>
      <c r="J13" s="9"/>
      <c r="K13" s="9"/>
      <c r="L13" s="9"/>
      <c r="M13" s="24"/>
      <c r="N13" s="24"/>
      <c r="O13" s="24"/>
      <c r="P13" s="24"/>
      <c r="Q13" s="24"/>
    </row>
    <row r="14" spans="2:22" x14ac:dyDescent="0.25">
      <c r="B14" s="1" t="s">
        <v>37</v>
      </c>
      <c r="C14" s="8">
        <v>43.97481219220208</v>
      </c>
      <c r="D14" s="8">
        <v>42.48280451213941</v>
      </c>
      <c r="E14" s="8">
        <v>43.408195031690411</v>
      </c>
      <c r="F14" s="8">
        <v>44.034401925979182</v>
      </c>
      <c r="G14" s="8">
        <v>41.275314476748463</v>
      </c>
      <c r="H14" s="9"/>
      <c r="I14" s="9"/>
      <c r="J14" s="9"/>
      <c r="K14" s="9"/>
      <c r="L14" s="9"/>
      <c r="M14" s="24"/>
      <c r="N14" s="24"/>
      <c r="O14" s="24"/>
      <c r="P14" s="24"/>
      <c r="Q14" s="24"/>
    </row>
    <row r="15" spans="2:22" x14ac:dyDescent="0.25">
      <c r="B15" s="1" t="s">
        <v>38</v>
      </c>
      <c r="C15" s="8">
        <v>42.664166744623799</v>
      </c>
      <c r="D15" s="8">
        <v>40.902594678744208</v>
      </c>
      <c r="E15" s="8">
        <v>41.929294997768011</v>
      </c>
      <c r="F15" s="8">
        <v>42.739161978999618</v>
      </c>
      <c r="G15" s="8">
        <v>39.605822500365321</v>
      </c>
      <c r="H15" s="9"/>
      <c r="I15" s="9"/>
      <c r="J15" s="9"/>
      <c r="K15" s="9"/>
      <c r="L15" s="9"/>
      <c r="M15" s="24"/>
      <c r="N15" s="24"/>
      <c r="O15" s="24"/>
      <c r="P15" s="24"/>
      <c r="Q15" s="24"/>
    </row>
    <row r="16" spans="2:22" x14ac:dyDescent="0.25">
      <c r="B16" s="1" t="s">
        <v>39</v>
      </c>
      <c r="C16" s="8"/>
      <c r="D16" s="8"/>
      <c r="E16" s="8"/>
      <c r="F16" s="8"/>
      <c r="G16" s="8"/>
      <c r="H16" s="9"/>
      <c r="I16" s="9"/>
      <c r="J16" s="9"/>
      <c r="K16" s="9"/>
      <c r="L16" s="9"/>
      <c r="M16" s="24"/>
      <c r="N16" s="24"/>
      <c r="O16" s="24"/>
      <c r="P16" s="24"/>
      <c r="Q16" s="24"/>
    </row>
    <row r="17" spans="2:17" x14ac:dyDescent="0.25">
      <c r="B17" s="1" t="s">
        <v>40</v>
      </c>
      <c r="C17" s="8"/>
      <c r="D17" s="8"/>
      <c r="E17" s="8"/>
      <c r="F17" s="8"/>
      <c r="G17" s="8"/>
      <c r="H17" s="9"/>
      <c r="I17" s="9"/>
      <c r="J17" s="9"/>
      <c r="K17" s="9"/>
      <c r="L17" s="9"/>
      <c r="M17" s="24"/>
      <c r="N17" s="24"/>
      <c r="O17" s="24"/>
      <c r="P17" s="24"/>
      <c r="Q17" s="24"/>
    </row>
    <row r="18" spans="2:17" x14ac:dyDescent="0.25">
      <c r="B18" s="1" t="s">
        <v>41</v>
      </c>
      <c r="C18" s="8"/>
      <c r="D18" s="8"/>
      <c r="E18" s="8"/>
      <c r="F18" s="8"/>
      <c r="G18" s="8"/>
      <c r="H18" s="9"/>
      <c r="I18" s="9"/>
      <c r="J18" s="9"/>
      <c r="K18" s="9"/>
      <c r="L18" s="9"/>
      <c r="M18" s="24"/>
      <c r="N18" s="24"/>
      <c r="O18" s="24"/>
      <c r="P18" s="24"/>
      <c r="Q18" s="24"/>
    </row>
  </sheetData>
  <mergeCells count="5">
    <mergeCell ref="B1:Q1"/>
    <mergeCell ref="C2:G2"/>
    <mergeCell ref="H2:L2"/>
    <mergeCell ref="M2:Q2"/>
    <mergeCell ref="B4:Q4"/>
  </mergeCells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21"/>
  <sheetViews>
    <sheetView tabSelected="1" workbookViewId="0">
      <selection activeCell="AF4" sqref="AF4"/>
    </sheetView>
  </sheetViews>
  <sheetFormatPr defaultColWidth="11.42578125" defaultRowHeight="15" x14ac:dyDescent="0.25"/>
  <cols>
    <col min="3" max="22" width="6.7109375" style="6" customWidth="1"/>
    <col min="23" max="32" width="6.5703125" style="6" customWidth="1"/>
  </cols>
  <sheetData>
    <row r="1" spans="2:32" x14ac:dyDescent="0.25">
      <c r="B1" s="48" t="s">
        <v>6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</row>
    <row r="2" spans="2:32" ht="15.75" thickBot="1" x14ac:dyDescent="0.3">
      <c r="B2" s="3" t="s">
        <v>0</v>
      </c>
      <c r="C2" s="50" t="s">
        <v>33</v>
      </c>
      <c r="D2" s="51"/>
      <c r="E2" s="51"/>
      <c r="F2" s="51"/>
      <c r="G2" s="51"/>
      <c r="H2" s="51"/>
      <c r="I2" s="51"/>
      <c r="J2" s="51"/>
      <c r="K2" s="51"/>
      <c r="L2" s="51"/>
      <c r="M2" s="52" t="s">
        <v>8</v>
      </c>
      <c r="N2" s="52"/>
      <c r="O2" s="52"/>
      <c r="P2" s="52"/>
      <c r="Q2" s="52"/>
      <c r="R2" s="52"/>
      <c r="S2" s="52"/>
      <c r="T2" s="52"/>
      <c r="U2" s="52"/>
      <c r="V2" s="52"/>
      <c r="W2" s="53" t="s">
        <v>9</v>
      </c>
      <c r="X2" s="53"/>
      <c r="Y2" s="53"/>
      <c r="Z2" s="53"/>
      <c r="AA2" s="53"/>
      <c r="AB2" s="53"/>
      <c r="AC2" s="53"/>
      <c r="AD2" s="53"/>
      <c r="AE2" s="53"/>
      <c r="AF2" s="53"/>
    </row>
    <row r="3" spans="2:32" x14ac:dyDescent="0.25">
      <c r="B3" s="2" t="s">
        <v>1</v>
      </c>
      <c r="C3" s="45" t="s">
        <v>14</v>
      </c>
      <c r="D3" s="42"/>
      <c r="E3" s="41" t="s">
        <v>15</v>
      </c>
      <c r="F3" s="42"/>
      <c r="G3" s="41" t="s">
        <v>16</v>
      </c>
      <c r="H3" s="42"/>
      <c r="I3" s="41" t="s">
        <v>17</v>
      </c>
      <c r="J3" s="42"/>
      <c r="K3" s="41" t="s">
        <v>18</v>
      </c>
      <c r="L3" s="42"/>
      <c r="M3" s="43" t="s">
        <v>19</v>
      </c>
      <c r="N3" s="44"/>
      <c r="O3" s="43" t="s">
        <v>20</v>
      </c>
      <c r="P3" s="44"/>
      <c r="Q3" s="43" t="s">
        <v>13</v>
      </c>
      <c r="R3" s="44"/>
      <c r="S3" s="43" t="s">
        <v>21</v>
      </c>
      <c r="T3" s="44"/>
      <c r="U3" s="43" t="s">
        <v>22</v>
      </c>
      <c r="V3" s="44"/>
      <c r="W3" s="46" t="s">
        <v>23</v>
      </c>
      <c r="X3" s="47"/>
      <c r="Y3" s="46" t="s">
        <v>24</v>
      </c>
      <c r="Z3" s="47"/>
      <c r="AA3" s="46" t="s">
        <v>10</v>
      </c>
      <c r="AB3" s="47"/>
      <c r="AC3" s="46" t="s">
        <v>11</v>
      </c>
      <c r="AD3" s="47"/>
      <c r="AE3" s="46" t="s">
        <v>12</v>
      </c>
      <c r="AF3" s="47"/>
    </row>
    <row r="4" spans="2:32" x14ac:dyDescent="0.25">
      <c r="B4" s="2" t="s">
        <v>25</v>
      </c>
      <c r="C4" s="5" t="s">
        <v>27</v>
      </c>
      <c r="D4" s="5" t="s">
        <v>26</v>
      </c>
      <c r="E4" s="5" t="s">
        <v>27</v>
      </c>
      <c r="F4" s="5" t="s">
        <v>26</v>
      </c>
      <c r="G4" s="5" t="s">
        <v>27</v>
      </c>
      <c r="H4" s="5" t="s">
        <v>26</v>
      </c>
      <c r="I4" s="5" t="s">
        <v>27</v>
      </c>
      <c r="J4" s="5" t="s">
        <v>26</v>
      </c>
      <c r="K4" s="5" t="s">
        <v>27</v>
      </c>
      <c r="L4" s="5" t="s">
        <v>26</v>
      </c>
      <c r="M4" s="5" t="s">
        <v>27</v>
      </c>
      <c r="N4" s="5" t="s">
        <v>26</v>
      </c>
      <c r="O4" s="5" t="s">
        <v>27</v>
      </c>
      <c r="P4" s="5" t="s">
        <v>26</v>
      </c>
      <c r="Q4" s="5" t="s">
        <v>27</v>
      </c>
      <c r="R4" s="5" t="s">
        <v>26</v>
      </c>
      <c r="S4" s="5" t="s">
        <v>27</v>
      </c>
      <c r="T4" s="5" t="s">
        <v>26</v>
      </c>
      <c r="U4" s="5" t="s">
        <v>27</v>
      </c>
      <c r="V4" s="5" t="s">
        <v>26</v>
      </c>
      <c r="W4" s="5" t="s">
        <v>27</v>
      </c>
      <c r="X4" s="5" t="s">
        <v>26</v>
      </c>
      <c r="Y4" s="5" t="s">
        <v>27</v>
      </c>
      <c r="Z4" s="5" t="s">
        <v>26</v>
      </c>
      <c r="AA4" s="5" t="s">
        <v>27</v>
      </c>
      <c r="AB4" s="5" t="s">
        <v>26</v>
      </c>
      <c r="AC4" s="5" t="s">
        <v>27</v>
      </c>
      <c r="AD4" s="5" t="s">
        <v>26</v>
      </c>
      <c r="AE4" s="5" t="s">
        <v>27</v>
      </c>
      <c r="AF4" s="5" t="s">
        <v>26</v>
      </c>
    </row>
    <row r="5" spans="2:32" x14ac:dyDescent="0.25">
      <c r="B5" s="4" t="s">
        <v>3</v>
      </c>
      <c r="C5" s="11">
        <v>159.41</v>
      </c>
      <c r="D5" s="11">
        <v>169.8</v>
      </c>
      <c r="E5" s="11">
        <v>159.52000000000001</v>
      </c>
      <c r="F5" s="11">
        <v>169.65</v>
      </c>
      <c r="G5" s="11">
        <v>159.52000000000001</v>
      </c>
      <c r="H5" s="11">
        <v>170.38</v>
      </c>
      <c r="I5" s="11">
        <v>159.51</v>
      </c>
      <c r="J5" s="11">
        <v>169.74</v>
      </c>
      <c r="K5" s="11">
        <v>159.66999999999999</v>
      </c>
      <c r="L5" s="11">
        <v>169.59</v>
      </c>
      <c r="M5" s="12">
        <v>159.81</v>
      </c>
      <c r="N5" s="12">
        <v>169.49</v>
      </c>
      <c r="O5" s="12">
        <v>159.62</v>
      </c>
      <c r="P5" s="12">
        <v>169.72</v>
      </c>
      <c r="Q5" s="12">
        <v>159.29</v>
      </c>
      <c r="R5" s="12">
        <v>169.72</v>
      </c>
      <c r="S5" s="12">
        <v>159.77000000000001</v>
      </c>
      <c r="T5" s="12">
        <v>169.58</v>
      </c>
      <c r="U5" s="12">
        <v>159.38999999999999</v>
      </c>
      <c r="V5" s="12">
        <v>169.86</v>
      </c>
      <c r="W5" s="13">
        <v>159.49</v>
      </c>
      <c r="X5" s="13">
        <v>169.11</v>
      </c>
      <c r="Y5" s="13">
        <v>159.4</v>
      </c>
      <c r="Z5" s="13">
        <v>170.27</v>
      </c>
      <c r="AA5" s="13">
        <v>159.75</v>
      </c>
      <c r="AB5" s="13">
        <v>169.56</v>
      </c>
      <c r="AC5" s="13">
        <v>159.31</v>
      </c>
      <c r="AD5" s="13">
        <v>169.56</v>
      </c>
      <c r="AE5" s="13">
        <v>159.26</v>
      </c>
      <c r="AF5" s="13">
        <v>169.91</v>
      </c>
    </row>
    <row r="6" spans="2:32" x14ac:dyDescent="0.25">
      <c r="B6" s="4" t="s">
        <v>4</v>
      </c>
      <c r="C6" s="11">
        <v>159.29813003858726</v>
      </c>
      <c r="D6" s="11">
        <v>169.26</v>
      </c>
      <c r="E6" s="11">
        <v>159.41999999999999</v>
      </c>
      <c r="F6" s="11">
        <v>169.36</v>
      </c>
      <c r="G6" s="11">
        <v>159.24</v>
      </c>
      <c r="H6" s="11">
        <v>169.94</v>
      </c>
      <c r="I6" s="11">
        <v>159.38999999999999</v>
      </c>
      <c r="J6" s="11">
        <v>169.73</v>
      </c>
      <c r="K6" s="11">
        <v>159.76</v>
      </c>
      <c r="L6" s="11">
        <v>169.67</v>
      </c>
      <c r="M6" s="12">
        <v>159.64090012130328</v>
      </c>
      <c r="N6" s="12">
        <v>169.4174268097413</v>
      </c>
      <c r="O6" s="12">
        <v>158.73929971421603</v>
      </c>
      <c r="P6" s="12">
        <v>169.29362577284337</v>
      </c>
      <c r="Q6" s="12">
        <v>159.46935348601983</v>
      </c>
      <c r="R6" s="12">
        <v>169.81240585464548</v>
      </c>
      <c r="S6" s="12">
        <v>159.48511851838703</v>
      </c>
      <c r="T6" s="12">
        <v>169.51290885444905</v>
      </c>
      <c r="U6" s="12">
        <v>159.04570815546322</v>
      </c>
      <c r="V6" s="12">
        <v>169.94356404957216</v>
      </c>
      <c r="W6" s="13">
        <v>159.92585513013182</v>
      </c>
      <c r="X6" s="13">
        <v>168.56275202208053</v>
      </c>
      <c r="Y6" s="13">
        <v>159.67190957398998</v>
      </c>
      <c r="Z6" s="13">
        <v>169.3050434536417</v>
      </c>
      <c r="AA6" s="13">
        <v>159.96976221595105</v>
      </c>
      <c r="AB6" s="13">
        <v>169.18693826792151</v>
      </c>
      <c r="AC6" s="13">
        <v>159.86303276513354</v>
      </c>
      <c r="AD6" s="13">
        <v>169.54159792785504</v>
      </c>
      <c r="AE6" s="13">
        <v>160.01553801961563</v>
      </c>
      <c r="AF6" s="13">
        <v>169.59731999904801</v>
      </c>
    </row>
    <row r="7" spans="2:32" x14ac:dyDescent="0.25">
      <c r="B7" s="4" t="s">
        <v>5</v>
      </c>
      <c r="C7" s="11">
        <v>159.35876883941091</v>
      </c>
      <c r="D7" s="11">
        <v>169.14185672449094</v>
      </c>
      <c r="E7" s="11">
        <v>159.53641168980539</v>
      </c>
      <c r="F7" s="11">
        <v>169.1939873053343</v>
      </c>
      <c r="G7" s="11">
        <v>159.34799746282806</v>
      </c>
      <c r="H7" s="11">
        <v>169.7680774885157</v>
      </c>
      <c r="I7" s="11">
        <v>159.43503325579513</v>
      </c>
      <c r="J7" s="11">
        <v>169.62074865496106</v>
      </c>
      <c r="K7" s="11">
        <v>159.99875088291446</v>
      </c>
      <c r="L7" s="11">
        <v>169.3675148568218</v>
      </c>
      <c r="M7" s="12">
        <v>159.76798311075981</v>
      </c>
      <c r="N7" s="12">
        <v>169.18962301569991</v>
      </c>
      <c r="O7" s="12">
        <v>159.31875667847635</v>
      </c>
      <c r="P7" s="12">
        <v>169.6300523568425</v>
      </c>
      <c r="Q7" s="12">
        <v>159.94420772130979</v>
      </c>
      <c r="R7" s="12">
        <v>169.0938988718699</v>
      </c>
      <c r="S7" s="12">
        <v>159.18411752027168</v>
      </c>
      <c r="T7" s="12">
        <v>168.79826045205846</v>
      </c>
      <c r="U7" s="12">
        <v>159.82343756732007</v>
      </c>
      <c r="V7" s="12">
        <v>169.42798601521645</v>
      </c>
      <c r="W7" s="13">
        <v>160.00554909060156</v>
      </c>
      <c r="X7" s="13">
        <v>168.43324928722723</v>
      </c>
      <c r="Y7" s="13">
        <v>159.83136223621841</v>
      </c>
      <c r="Z7" s="13">
        <v>169.11568650612026</v>
      </c>
      <c r="AA7" s="13">
        <v>159.99967615261994</v>
      </c>
      <c r="AB7" s="13">
        <v>169.09719979285001</v>
      </c>
      <c r="AC7" s="13">
        <v>160.01267988758627</v>
      </c>
      <c r="AD7" s="13">
        <v>169.37196652506827</v>
      </c>
      <c r="AE7" s="13">
        <v>160.19502824747178</v>
      </c>
      <c r="AF7" s="13">
        <v>169.37791855016258</v>
      </c>
    </row>
    <row r="8" spans="2:32" x14ac:dyDescent="0.25">
      <c r="B8" s="4" t="s">
        <v>28</v>
      </c>
      <c r="C8" s="11">
        <v>159.41940764041647</v>
      </c>
      <c r="D8" s="11">
        <v>169.0104726339996</v>
      </c>
      <c r="E8" s="11">
        <v>159.60721785777423</v>
      </c>
      <c r="F8" s="11">
        <v>169.03215661441209</v>
      </c>
      <c r="G8" s="11">
        <v>159.48963113460195</v>
      </c>
      <c r="H8" s="11">
        <v>169.53539375190303</v>
      </c>
      <c r="I8" s="11">
        <v>159.536120646771</v>
      </c>
      <c r="J8" s="11">
        <v>169.44889379283268</v>
      </c>
      <c r="K8" s="11">
        <v>160.08964778720838</v>
      </c>
      <c r="L8" s="11">
        <v>169.21601430658484</v>
      </c>
      <c r="M8" s="12">
        <v>159.85890387255495</v>
      </c>
      <c r="N8" s="12">
        <v>169.03808277893404</v>
      </c>
      <c r="O8" s="12">
        <v>159.47045030225127</v>
      </c>
      <c r="P8" s="12">
        <v>169.42778674838337</v>
      </c>
      <c r="Q8" s="12">
        <v>160.0655307613124</v>
      </c>
      <c r="R8" s="12">
        <v>168.89169391051837</v>
      </c>
      <c r="S8" s="12">
        <v>159.30543146714626</v>
      </c>
      <c r="T8" s="12">
        <v>168.62639901428338</v>
      </c>
      <c r="U8" s="12">
        <v>159.98530457582092</v>
      </c>
      <c r="V8" s="12">
        <v>169.21554347245547</v>
      </c>
      <c r="W8" s="13">
        <v>160.0852430510713</v>
      </c>
      <c r="X8" s="13">
        <v>168.30374655237392</v>
      </c>
      <c r="Y8" s="13">
        <v>159.90112277577282</v>
      </c>
      <c r="Z8" s="13">
        <v>169.00605879964132</v>
      </c>
      <c r="AA8" s="13">
        <v>160.02959008947073</v>
      </c>
      <c r="AB8" s="13">
        <v>169.02740320110752</v>
      </c>
      <c r="AC8" s="13">
        <v>160.07253873667651</v>
      </c>
      <c r="AD8" s="13">
        <v>169.27218334694771</v>
      </c>
      <c r="AE8" s="13">
        <v>159.85912727537652</v>
      </c>
      <c r="AF8" s="13">
        <v>168.8366861855684</v>
      </c>
    </row>
    <row r="9" spans="2:32" x14ac:dyDescent="0.25">
      <c r="B9" s="4" t="s">
        <v>29</v>
      </c>
      <c r="C9" s="11">
        <v>159.58111110958271</v>
      </c>
      <c r="D9" s="11">
        <v>168.84876913809421</v>
      </c>
      <c r="E9" s="11">
        <v>159.7994060281053</v>
      </c>
      <c r="F9" s="11">
        <v>168.83998266912386</v>
      </c>
      <c r="G9" s="11">
        <v>159.72231502400973</v>
      </c>
      <c r="H9" s="11">
        <v>169.31282669957</v>
      </c>
      <c r="I9" s="11">
        <v>159.70796921174042</v>
      </c>
      <c r="J9" s="11">
        <v>169.26692982160603</v>
      </c>
      <c r="K9" s="11">
        <v>160.2411426276376</v>
      </c>
      <c r="L9" s="11">
        <v>169.06451375671168</v>
      </c>
      <c r="M9" s="12">
        <v>160.02054078235233</v>
      </c>
      <c r="N9" s="12">
        <v>168.85623449488776</v>
      </c>
      <c r="O9" s="12">
        <v>159.69293428388482</v>
      </c>
      <c r="P9" s="12">
        <v>169.16484145767754</v>
      </c>
      <c r="Q9" s="12">
        <v>160.16663329464791</v>
      </c>
      <c r="R9" s="12">
        <v>168.77037093381659</v>
      </c>
      <c r="S9" s="12">
        <v>159.52784036999219</v>
      </c>
      <c r="T9" s="12">
        <v>168.38377110216243</v>
      </c>
      <c r="U9" s="12">
        <v>160.19775502463744</v>
      </c>
      <c r="V9" s="12">
        <v>168.97275199517026</v>
      </c>
      <c r="W9" s="13">
        <v>160.2844779521547</v>
      </c>
      <c r="X9" s="13">
        <v>168.13439682209719</v>
      </c>
      <c r="Y9" s="13">
        <v>160.11040439498174</v>
      </c>
      <c r="Z9" s="13">
        <v>168.80673569685314</v>
      </c>
      <c r="AA9" s="13">
        <v>160.21904502194957</v>
      </c>
      <c r="AB9" s="13">
        <v>168.86786813447543</v>
      </c>
      <c r="AC9" s="13">
        <v>160.31197413285554</v>
      </c>
      <c r="AD9" s="13">
        <v>169.06263867294911</v>
      </c>
      <c r="AE9" s="13">
        <v>160.03835270621494</v>
      </c>
      <c r="AF9" s="13">
        <v>168.67736871809029</v>
      </c>
    </row>
    <row r="10" spans="2:32" x14ac:dyDescent="0.25">
      <c r="B10" s="4" t="s">
        <v>30</v>
      </c>
      <c r="C10" s="11">
        <v>159.66196284407488</v>
      </c>
      <c r="D10" s="11">
        <v>168.71738504760287</v>
      </c>
      <c r="E10" s="11">
        <v>159.88032736295281</v>
      </c>
      <c r="F10" s="11">
        <v>168.72872406911483</v>
      </c>
      <c r="G10" s="11">
        <v>159.86394869578362</v>
      </c>
      <c r="H10" s="11">
        <v>169.13072638399171</v>
      </c>
      <c r="I10" s="11">
        <v>159.80905660289864</v>
      </c>
      <c r="J10" s="11">
        <v>169.1355113978716</v>
      </c>
      <c r="K10" s="11">
        <v>160.29164090778067</v>
      </c>
      <c r="L10" s="11">
        <v>168.97361342671502</v>
      </c>
      <c r="M10" s="12">
        <v>160.25289384015196</v>
      </c>
      <c r="N10" s="12">
        <v>168.67438621084148</v>
      </c>
      <c r="O10" s="12">
        <v>159.96598280689796</v>
      </c>
      <c r="P10" s="12">
        <v>168.94234928877268</v>
      </c>
      <c r="Q10" s="12">
        <v>160.27784608122602</v>
      </c>
      <c r="R10" s="12">
        <v>168.70970944546571</v>
      </c>
      <c r="S10" s="12">
        <v>159.67948280376731</v>
      </c>
      <c r="T10" s="12">
        <v>168.27256664237211</v>
      </c>
      <c r="U10" s="12">
        <v>160.42032216137159</v>
      </c>
      <c r="V10" s="12">
        <v>168.7906583869335</v>
      </c>
      <c r="W10" s="13">
        <v>160.24463097201078</v>
      </c>
      <c r="X10" s="13">
        <v>168.11447332456737</v>
      </c>
      <c r="Y10" s="13">
        <v>160.09047281222593</v>
      </c>
      <c r="Z10" s="13">
        <v>168.78680338668346</v>
      </c>
      <c r="AA10" s="13">
        <v>160.16918846071349</v>
      </c>
      <c r="AB10" s="13">
        <v>168.86786813447543</v>
      </c>
      <c r="AC10" s="13">
        <v>160.27206823346205</v>
      </c>
      <c r="AD10" s="13">
        <v>169.03270371949475</v>
      </c>
      <c r="AE10" s="13">
        <v>160.00848180101457</v>
      </c>
      <c r="AF10" s="13">
        <v>168.64749669293815</v>
      </c>
    </row>
    <row r="11" spans="2:32" x14ac:dyDescent="0.25">
      <c r="B11" s="4" t="s">
        <v>34</v>
      </c>
      <c r="C11" s="11">
        <v>159.77313397925172</v>
      </c>
      <c r="D11" s="11">
        <v>168.59610742576479</v>
      </c>
      <c r="E11" s="11">
        <v>159.91067286358884</v>
      </c>
      <c r="F11" s="11">
        <v>168.68826639638428</v>
      </c>
      <c r="G11" s="11">
        <v>159.97523229507351</v>
      </c>
      <c r="H11" s="11">
        <v>169.00932617372746</v>
      </c>
      <c r="I11" s="11">
        <v>159.88992651582521</v>
      </c>
      <c r="J11" s="11">
        <v>169.04452941216732</v>
      </c>
      <c r="K11" s="11">
        <v>160.28154125178844</v>
      </c>
      <c r="L11" s="11">
        <v>168.97361342671502</v>
      </c>
      <c r="M11" s="12">
        <v>160.26299614713935</v>
      </c>
      <c r="N11" s="12">
        <v>168.64407816337916</v>
      </c>
      <c r="O11" s="12">
        <v>159.98620862337702</v>
      </c>
      <c r="P11" s="12">
        <v>168.89178288674884</v>
      </c>
      <c r="Q11" s="12">
        <v>160.17674354789051</v>
      </c>
      <c r="R11" s="12">
        <v>168.78048118196602</v>
      </c>
      <c r="S11" s="12">
        <v>159.64915431704867</v>
      </c>
      <c r="T11" s="12">
        <v>168.27256664237211</v>
      </c>
      <c r="U11" s="12">
        <v>160.44055553738872</v>
      </c>
      <c r="V11" s="12">
        <v>168.76030945222738</v>
      </c>
      <c r="W11" s="13">
        <v>160.37413365775137</v>
      </c>
      <c r="X11" s="13">
        <v>168.00489408724388</v>
      </c>
      <c r="Y11" s="13">
        <v>160.27982284849713</v>
      </c>
      <c r="Z11" s="13">
        <v>168.62734490441653</v>
      </c>
      <c r="AA11" s="13">
        <v>160.32872945652343</v>
      </c>
      <c r="AB11" s="13">
        <v>168.7183040094169</v>
      </c>
      <c r="AC11" s="13">
        <v>160.46162125530827</v>
      </c>
      <c r="AD11" s="13">
        <v>168.87305063464737</v>
      </c>
      <c r="AE11" s="13">
        <v>160.23749207379296</v>
      </c>
      <c r="AF11" s="13">
        <v>168.42843517515576</v>
      </c>
    </row>
    <row r="12" spans="2:32" x14ac:dyDescent="0.25">
      <c r="B12" s="4" t="s">
        <v>35</v>
      </c>
      <c r="C12" s="11">
        <v>159.62153697673784</v>
      </c>
      <c r="D12" s="11">
        <v>168.72749151625612</v>
      </c>
      <c r="E12" s="11">
        <v>159.89044252983149</v>
      </c>
      <c r="F12" s="11">
        <v>168.68826639638428</v>
      </c>
      <c r="G12" s="11">
        <v>159.70208164235373</v>
      </c>
      <c r="H12" s="11">
        <v>169.29259333119262</v>
      </c>
      <c r="I12" s="11">
        <v>159.91014399405685</v>
      </c>
      <c r="J12" s="11">
        <v>168.95354742646305</v>
      </c>
      <c r="K12" s="11">
        <v>160.14014606735145</v>
      </c>
      <c r="L12" s="11">
        <v>169.08471382994321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>
        <v>160.41398063789529</v>
      </c>
      <c r="X12" s="13">
        <v>167.96504709200235</v>
      </c>
      <c r="Y12" s="13">
        <v>160.37948076245812</v>
      </c>
      <c r="Z12" s="13">
        <v>168.5177171979376</v>
      </c>
      <c r="AA12" s="13">
        <v>160.40849995442841</v>
      </c>
      <c r="AB12" s="13">
        <v>168.63853647591895</v>
      </c>
      <c r="AC12" s="13">
        <v>160.55140952885267</v>
      </c>
      <c r="AD12" s="13">
        <v>168.77326745652681</v>
      </c>
      <c r="AE12" s="13">
        <v>160.34701872576989</v>
      </c>
      <c r="AF12" s="13">
        <v>168.31890441626456</v>
      </c>
    </row>
    <row r="13" spans="2:32" x14ac:dyDescent="0.25">
      <c r="B13" s="4" t="s">
        <v>36</v>
      </c>
      <c r="C13" s="11">
        <v>159.21727830409509</v>
      </c>
      <c r="D13" s="11">
        <v>169.14185672449094</v>
      </c>
      <c r="E13" s="11">
        <v>159.87021219607414</v>
      </c>
      <c r="F13" s="11">
        <v>168.71860965093219</v>
      </c>
      <c r="G13" s="11">
        <v>159.01414666495839</v>
      </c>
      <c r="H13" s="11">
        <v>169.99064454066684</v>
      </c>
      <c r="I13" s="11">
        <v>159.95057895033824</v>
      </c>
      <c r="J13" s="11">
        <v>168.93332920735702</v>
      </c>
      <c r="K13" s="11">
        <v>160.11994675518508</v>
      </c>
      <c r="L13" s="11">
        <v>169.10491390335665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2:32" x14ac:dyDescent="0.25">
      <c r="B14" s="4" t="s">
        <v>37</v>
      </c>
      <c r="C14" s="11">
        <v>159.12632010258676</v>
      </c>
      <c r="D14" s="11">
        <v>169.22270847244363</v>
      </c>
      <c r="E14" s="11">
        <v>159.80952119498397</v>
      </c>
      <c r="F14" s="11">
        <v>168.75906732366275</v>
      </c>
      <c r="G14" s="11">
        <v>158.8725129931845</v>
      </c>
      <c r="H14" s="11">
        <v>170.10192806683335</v>
      </c>
      <c r="I14" s="11">
        <v>159.92025273299078</v>
      </c>
      <c r="J14" s="11">
        <v>168.95354742646305</v>
      </c>
      <c r="K14" s="11">
        <v>160.06944847504201</v>
      </c>
      <c r="L14" s="11">
        <v>169.14531405000162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2:32" x14ac:dyDescent="0.25">
      <c r="B15" s="4" t="s">
        <v>38</v>
      </c>
      <c r="C15" s="11">
        <v>159.07578776841547</v>
      </c>
      <c r="D15" s="11">
        <v>169.27324081480037</v>
      </c>
      <c r="E15" s="11">
        <v>159.7994060281053</v>
      </c>
      <c r="F15" s="11">
        <v>168.78941057821066</v>
      </c>
      <c r="G15" s="11">
        <v>158.8118128482165</v>
      </c>
      <c r="H15" s="11">
        <v>170.17274485624512</v>
      </c>
      <c r="I15" s="11">
        <v>159.9303614721066</v>
      </c>
      <c r="J15" s="11">
        <v>168.94343831700098</v>
      </c>
      <c r="K15" s="11">
        <v>160.0391495070653</v>
      </c>
      <c r="L15" s="11">
        <v>169.18571419664659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2:32" x14ac:dyDescent="0.25">
      <c r="B16" s="4" t="s">
        <v>39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2:32" x14ac:dyDescent="0.25">
      <c r="B17" s="4" t="s">
        <v>40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2:32" x14ac:dyDescent="0.25">
      <c r="B18" s="4" t="s">
        <v>41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2:32" x14ac:dyDescent="0.25">
      <c r="B19" s="4" t="s">
        <v>42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2:32" x14ac:dyDescent="0.25">
      <c r="B20" s="4" t="s">
        <v>43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2:32" x14ac:dyDescent="0.25">
      <c r="B21" s="4" t="s">
        <v>44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</sheetData>
  <mergeCells count="19">
    <mergeCell ref="B1:AF1"/>
    <mergeCell ref="U3:V3"/>
    <mergeCell ref="Q3:R3"/>
    <mergeCell ref="S3:T3"/>
    <mergeCell ref="C2:L2"/>
    <mergeCell ref="M2:V2"/>
    <mergeCell ref="W2:AF2"/>
    <mergeCell ref="W3:X3"/>
    <mergeCell ref="Y3:Z3"/>
    <mergeCell ref="AA3:AB3"/>
    <mergeCell ref="AC3:AD3"/>
    <mergeCell ref="E3:F3"/>
    <mergeCell ref="G3:H3"/>
    <mergeCell ref="I3:J3"/>
    <mergeCell ref="K3:L3"/>
    <mergeCell ref="M3:N3"/>
    <mergeCell ref="O3:P3"/>
    <mergeCell ref="C3:D3"/>
    <mergeCell ref="AE3:AF3"/>
  </mergeCells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22"/>
  <sheetViews>
    <sheetView workbookViewId="0">
      <selection activeCell="C4" sqref="C4"/>
    </sheetView>
  </sheetViews>
  <sheetFormatPr defaultColWidth="11.42578125" defaultRowHeight="15" x14ac:dyDescent="0.25"/>
  <cols>
    <col min="1" max="1" width="5.42578125" customWidth="1"/>
    <col min="2" max="2" width="14.85546875" customWidth="1"/>
    <col min="3" max="22" width="7.7109375" style="6" customWidth="1"/>
    <col min="23" max="32" width="7" style="6" customWidth="1"/>
  </cols>
  <sheetData>
    <row r="1" spans="2:32" x14ac:dyDescent="0.25">
      <c r="B1" s="48" t="s">
        <v>6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</row>
    <row r="2" spans="2:32" ht="15.75" thickBot="1" x14ac:dyDescent="0.3">
      <c r="B2" s="3" t="s">
        <v>0</v>
      </c>
      <c r="C2" s="50" t="s">
        <v>33</v>
      </c>
      <c r="D2" s="51"/>
      <c r="E2" s="51"/>
      <c r="F2" s="51"/>
      <c r="G2" s="51"/>
      <c r="H2" s="51"/>
      <c r="I2" s="51"/>
      <c r="J2" s="51"/>
      <c r="K2" s="51"/>
      <c r="L2" s="51"/>
      <c r="M2" s="52" t="s">
        <v>8</v>
      </c>
      <c r="N2" s="52"/>
      <c r="O2" s="52"/>
      <c r="P2" s="52"/>
      <c r="Q2" s="52"/>
      <c r="R2" s="52"/>
      <c r="S2" s="52"/>
      <c r="T2" s="52"/>
      <c r="U2" s="52"/>
      <c r="V2" s="52"/>
      <c r="W2" s="53" t="s">
        <v>9</v>
      </c>
      <c r="X2" s="53"/>
      <c r="Y2" s="53"/>
      <c r="Z2" s="53"/>
      <c r="AA2" s="53"/>
      <c r="AB2" s="53"/>
      <c r="AC2" s="53"/>
      <c r="AD2" s="53"/>
      <c r="AE2" s="53"/>
      <c r="AF2" s="53"/>
    </row>
    <row r="3" spans="2:32" x14ac:dyDescent="0.25">
      <c r="B3" s="2" t="s">
        <v>1</v>
      </c>
      <c r="C3" s="54" t="s">
        <v>14</v>
      </c>
      <c r="D3" s="42"/>
      <c r="E3" s="41" t="s">
        <v>15</v>
      </c>
      <c r="F3" s="42"/>
      <c r="G3" s="41" t="s">
        <v>16</v>
      </c>
      <c r="H3" s="42"/>
      <c r="I3" s="54" t="s">
        <v>17</v>
      </c>
      <c r="J3" s="42"/>
      <c r="K3" s="54" t="s">
        <v>18</v>
      </c>
      <c r="L3" s="42"/>
      <c r="M3" s="43" t="s">
        <v>19</v>
      </c>
      <c r="N3" s="44"/>
      <c r="O3" s="43" t="s">
        <v>20</v>
      </c>
      <c r="P3" s="44"/>
      <c r="Q3" s="43" t="s">
        <v>13</v>
      </c>
      <c r="R3" s="44"/>
      <c r="S3" s="43" t="s">
        <v>21</v>
      </c>
      <c r="T3" s="44"/>
      <c r="U3" s="43" t="s">
        <v>22</v>
      </c>
      <c r="V3" s="44"/>
      <c r="W3" s="46" t="s">
        <v>23</v>
      </c>
      <c r="X3" s="47"/>
      <c r="Y3" s="46" t="s">
        <v>24</v>
      </c>
      <c r="Z3" s="47"/>
      <c r="AA3" s="46" t="s">
        <v>10</v>
      </c>
      <c r="AB3" s="47"/>
      <c r="AC3" s="46" t="s">
        <v>11</v>
      </c>
      <c r="AD3" s="47"/>
      <c r="AE3" s="46" t="s">
        <v>12</v>
      </c>
      <c r="AF3" s="47"/>
    </row>
    <row r="4" spans="2:32" x14ac:dyDescent="0.25">
      <c r="B4" s="2" t="s">
        <v>2</v>
      </c>
      <c r="C4" s="5" t="s">
        <v>31</v>
      </c>
      <c r="D4" s="5" t="s">
        <v>32</v>
      </c>
      <c r="E4" s="5" t="s">
        <v>31</v>
      </c>
      <c r="F4" s="5" t="s">
        <v>32</v>
      </c>
      <c r="G4" s="5" t="s">
        <v>31</v>
      </c>
      <c r="H4" s="5" t="s">
        <v>32</v>
      </c>
      <c r="I4" s="5" t="s">
        <v>31</v>
      </c>
      <c r="J4" s="5" t="s">
        <v>32</v>
      </c>
      <c r="K4" s="5" t="s">
        <v>31</v>
      </c>
      <c r="L4" s="5" t="s">
        <v>32</v>
      </c>
      <c r="M4" s="5" t="s">
        <v>31</v>
      </c>
      <c r="N4" s="5" t="s">
        <v>32</v>
      </c>
      <c r="O4" s="5" t="s">
        <v>31</v>
      </c>
      <c r="P4" s="5" t="s">
        <v>32</v>
      </c>
      <c r="Q4" s="5" t="s">
        <v>31</v>
      </c>
      <c r="R4" s="5" t="s">
        <v>32</v>
      </c>
      <c r="S4" s="5" t="s">
        <v>31</v>
      </c>
      <c r="T4" s="5" t="s">
        <v>32</v>
      </c>
      <c r="U4" s="5" t="s">
        <v>31</v>
      </c>
      <c r="V4" s="5" t="s">
        <v>32</v>
      </c>
      <c r="W4" s="5" t="s">
        <v>31</v>
      </c>
      <c r="X4" s="5" t="s">
        <v>32</v>
      </c>
      <c r="Y4" s="5" t="s">
        <v>31</v>
      </c>
      <c r="Z4" s="5" t="s">
        <v>32</v>
      </c>
      <c r="AA4" s="5" t="s">
        <v>31</v>
      </c>
      <c r="AB4" s="5" t="s">
        <v>32</v>
      </c>
      <c r="AC4" s="5" t="s">
        <v>31</v>
      </c>
      <c r="AD4" s="5" t="s">
        <v>32</v>
      </c>
      <c r="AE4" s="5" t="s">
        <v>31</v>
      </c>
      <c r="AF4" s="5" t="s">
        <v>32</v>
      </c>
    </row>
    <row r="5" spans="2:32" x14ac:dyDescent="0.25">
      <c r="B5" s="4" t="s">
        <v>3</v>
      </c>
      <c r="C5" s="11">
        <v>51.9193</v>
      </c>
      <c r="D5" s="11">
        <v>52.548699999999997</v>
      </c>
      <c r="E5" s="11">
        <v>51.210700000000003</v>
      </c>
      <c r="F5" s="11">
        <v>45.443399999999997</v>
      </c>
      <c r="G5" s="11">
        <v>52.570599999999999</v>
      </c>
      <c r="H5" s="11">
        <v>53.025869999999998</v>
      </c>
      <c r="I5" s="11">
        <v>51.927799999999998</v>
      </c>
      <c r="J5" s="11">
        <v>52.528700000000001</v>
      </c>
      <c r="K5" s="11">
        <v>52.024999999999999</v>
      </c>
      <c r="L5" s="11">
        <v>52.477899999999998</v>
      </c>
      <c r="M5" s="12">
        <v>51.210700000000003</v>
      </c>
      <c r="N5" s="12">
        <v>52.074711999999998</v>
      </c>
      <c r="O5" s="12">
        <v>51.501100000000001</v>
      </c>
      <c r="P5" s="12">
        <v>52.688499999999998</v>
      </c>
      <c r="Q5" s="12">
        <v>52.125399999999999</v>
      </c>
      <c r="R5" s="12">
        <v>52.544899999999998</v>
      </c>
      <c r="S5" s="12">
        <v>52.048200000000001</v>
      </c>
      <c r="T5" s="12">
        <v>52.490025000000003</v>
      </c>
      <c r="U5" s="12">
        <v>52.049300000000002</v>
      </c>
      <c r="V5" s="12">
        <v>52.798642999999998</v>
      </c>
      <c r="W5" s="13">
        <v>51.715600000000002</v>
      </c>
      <c r="X5" s="13">
        <v>51.438099999999999</v>
      </c>
      <c r="Y5" s="13">
        <v>52.313400000000001</v>
      </c>
      <c r="Z5" s="13">
        <v>51.246200000000002</v>
      </c>
      <c r="AA5" s="13">
        <v>52.278599999999997</v>
      </c>
      <c r="AB5" s="13">
        <v>51.417000000000002</v>
      </c>
      <c r="AC5" s="13">
        <v>51.913800000000002</v>
      </c>
      <c r="AD5" s="13">
        <v>52.308</v>
      </c>
      <c r="AE5" s="13">
        <v>52.279600000000002</v>
      </c>
      <c r="AF5" s="13">
        <v>52.105499999999999</v>
      </c>
    </row>
    <row r="6" spans="2:32" x14ac:dyDescent="0.25">
      <c r="B6" s="4" t="s">
        <v>4</v>
      </c>
      <c r="C6" s="11">
        <v>50.880299874581397</v>
      </c>
      <c r="D6" s="11">
        <v>50.709216058021411</v>
      </c>
      <c r="E6" s="11">
        <v>50.872059364221059</v>
      </c>
      <c r="F6" s="11">
        <v>50.70869657403091</v>
      </c>
      <c r="G6" s="11">
        <v>51.247923556482419</v>
      </c>
      <c r="H6" s="11">
        <v>51.125463781761937</v>
      </c>
      <c r="I6" s="11">
        <v>50.7249774839729</v>
      </c>
      <c r="J6" s="11">
        <v>50.534233665384818</v>
      </c>
      <c r="K6" s="11">
        <v>51.033357592299581</v>
      </c>
      <c r="L6" s="11">
        <v>50.882397247827612</v>
      </c>
      <c r="M6" s="12">
        <v>50.827208948670886</v>
      </c>
      <c r="N6" s="12">
        <v>50.622706921887584</v>
      </c>
      <c r="O6" s="12">
        <v>50.322873857803643</v>
      </c>
      <c r="P6" s="12">
        <v>50.231560314772651</v>
      </c>
      <c r="Q6" s="12">
        <v>50.793208421091549</v>
      </c>
      <c r="R6" s="12">
        <v>50.68544934084639</v>
      </c>
      <c r="S6" s="12">
        <v>51.07052824110724</v>
      </c>
      <c r="T6" s="12">
        <v>50.989932814147323</v>
      </c>
      <c r="U6" s="12">
        <v>50.60322166827973</v>
      </c>
      <c r="V6" s="12">
        <v>50.290701579302549</v>
      </c>
      <c r="W6" s="13">
        <v>51.18</v>
      </c>
      <c r="X6" s="13">
        <v>50.96</v>
      </c>
      <c r="Y6" s="13">
        <v>52.04</v>
      </c>
      <c r="Z6" s="13">
        <v>51.62</v>
      </c>
      <c r="AA6" s="13">
        <v>51.4</v>
      </c>
      <c r="AB6" s="13">
        <v>51.11</v>
      </c>
      <c r="AC6" s="13">
        <v>51.16</v>
      </c>
      <c r="AD6" s="13">
        <v>50.96</v>
      </c>
      <c r="AE6" s="13">
        <v>51.66</v>
      </c>
      <c r="AF6" s="13">
        <v>51.355703604640439</v>
      </c>
    </row>
    <row r="7" spans="2:32" x14ac:dyDescent="0.25">
      <c r="B7" s="4" t="s">
        <v>5</v>
      </c>
      <c r="C7" s="11">
        <v>49.709369118325412</v>
      </c>
      <c r="D7" s="11">
        <v>49.503957559063565</v>
      </c>
      <c r="E7" s="11">
        <v>50.24448247696273</v>
      </c>
      <c r="F7" s="11">
        <v>49.826740767399315</v>
      </c>
      <c r="G7" s="11">
        <v>50.58583794219885</v>
      </c>
      <c r="H7" s="11">
        <v>50.14749371772632</v>
      </c>
      <c r="I7" s="11">
        <v>49.686742048012093</v>
      </c>
      <c r="J7" s="11">
        <v>49.459202929458115</v>
      </c>
      <c r="K7" s="11">
        <v>50.104144994285889</v>
      </c>
      <c r="L7" s="11">
        <v>49.775514196662698</v>
      </c>
      <c r="M7" s="12">
        <v>50.243768285959959</v>
      </c>
      <c r="N7" s="12">
        <v>49.939859274309129</v>
      </c>
      <c r="O7" s="12">
        <v>49.515837160404701</v>
      </c>
      <c r="P7" s="12">
        <v>49.33366322418442</v>
      </c>
      <c r="Q7" s="12">
        <v>49.751562246237881</v>
      </c>
      <c r="R7" s="12">
        <v>49.536426864797249</v>
      </c>
      <c r="S7" s="12">
        <v>49.675750366644934</v>
      </c>
      <c r="T7" s="12">
        <v>49.474800886120647</v>
      </c>
      <c r="U7" s="12">
        <v>50.276197109022178</v>
      </c>
      <c r="V7" s="12">
        <v>49.97711526718922</v>
      </c>
      <c r="W7" s="13">
        <v>50.388463531970046</v>
      </c>
      <c r="X7" s="13">
        <v>50.051955295435619</v>
      </c>
      <c r="Y7" s="13">
        <v>50.999088137876242</v>
      </c>
      <c r="Z7" s="13">
        <v>50.684757459152024</v>
      </c>
      <c r="AA7" s="13">
        <v>50.670879319426604</v>
      </c>
      <c r="AB7" s="13">
        <v>50.265559986059088</v>
      </c>
      <c r="AC7" s="13">
        <v>50.613791187759489</v>
      </c>
      <c r="AD7" s="13">
        <v>50.125289707211778</v>
      </c>
      <c r="AE7" s="13">
        <v>50.894308653427288</v>
      </c>
      <c r="AF7" s="13">
        <v>50.555622746178415</v>
      </c>
    </row>
    <row r="8" spans="2:32" x14ac:dyDescent="0.25">
      <c r="B8" s="4" t="s">
        <v>28</v>
      </c>
      <c r="C8" s="11">
        <v>48.938194716582075</v>
      </c>
      <c r="D8" s="11">
        <v>48.69247774669202</v>
      </c>
      <c r="E8" s="11">
        <v>48.925997591111809</v>
      </c>
      <c r="F8" s="11">
        <v>48.644471454317681</v>
      </c>
      <c r="G8" s="11">
        <v>49.419954315759242</v>
      </c>
      <c r="H8" s="11">
        <v>49.132268472632859</v>
      </c>
      <c r="I8" s="11">
        <v>48.747808631276712</v>
      </c>
      <c r="J8" s="11">
        <v>48.420304209867027</v>
      </c>
      <c r="K8" s="11">
        <v>48.877683220314793</v>
      </c>
      <c r="L8" s="11">
        <v>48.635053190926556</v>
      </c>
      <c r="M8" s="12">
        <v>49.216150764958002</v>
      </c>
      <c r="N8" s="12">
        <v>49.081806984730065</v>
      </c>
      <c r="O8" s="12">
        <v>48.687175699975342</v>
      </c>
      <c r="P8" s="12">
        <v>48.401794215315022</v>
      </c>
      <c r="Q8" s="12">
        <v>48.75405753031373</v>
      </c>
      <c r="R8" s="12">
        <v>48.479560789768584</v>
      </c>
      <c r="S8" s="12">
        <v>48.685442521236837</v>
      </c>
      <c r="T8" s="12">
        <v>48.366470302978996</v>
      </c>
      <c r="U8" s="12">
        <v>49.187771702068858</v>
      </c>
      <c r="V8" s="12">
        <v>49.031281412986573</v>
      </c>
      <c r="W8" s="13">
        <v>49.65067082317546</v>
      </c>
      <c r="X8" s="13">
        <v>49.290832006488927</v>
      </c>
      <c r="Y8" s="13">
        <v>50.352541941800155</v>
      </c>
      <c r="Z8" s="13">
        <v>49.89850062970072</v>
      </c>
      <c r="AA8" s="13">
        <v>49.999404079164378</v>
      </c>
      <c r="AB8" s="13">
        <v>49.526557363569736</v>
      </c>
      <c r="AC8" s="13">
        <v>49.700461397063918</v>
      </c>
      <c r="AD8" s="13">
        <v>49.378245707601309</v>
      </c>
      <c r="AE8" s="13">
        <v>50.23521322675515</v>
      </c>
      <c r="AF8" s="13">
        <v>49.703745593607891</v>
      </c>
    </row>
    <row r="9" spans="2:32" x14ac:dyDescent="0.25">
      <c r="B9" s="4" t="s">
        <v>29</v>
      </c>
      <c r="C9" s="11">
        <v>48.332928909687325</v>
      </c>
      <c r="D9" s="11">
        <v>47.924512165191118</v>
      </c>
      <c r="E9" s="11">
        <v>48.066787971649319</v>
      </c>
      <c r="F9" s="11">
        <v>47.640677148941904</v>
      </c>
      <c r="G9" s="11">
        <v>48.680288926814683</v>
      </c>
      <c r="H9" s="11">
        <v>48.242251217539888</v>
      </c>
      <c r="I9" s="11">
        <v>47.797460239497013</v>
      </c>
      <c r="J9" s="11">
        <v>47.523115048126783</v>
      </c>
      <c r="K9" s="11">
        <v>47.82543938443996</v>
      </c>
      <c r="L9" s="11">
        <v>47.619842338899616</v>
      </c>
      <c r="M9" s="12">
        <v>48.440899279084988</v>
      </c>
      <c r="N9" s="12">
        <v>48.194129217823502</v>
      </c>
      <c r="O9" s="12">
        <v>47.77232610702049</v>
      </c>
      <c r="P9" s="12">
        <v>47.55884838278871</v>
      </c>
      <c r="Q9" s="12">
        <v>47.508508485043421</v>
      </c>
      <c r="R9" s="12">
        <v>47.27813270338811</v>
      </c>
      <c r="S9" s="12">
        <v>47.484262470621616</v>
      </c>
      <c r="T9" s="12">
        <v>47.252600254607387</v>
      </c>
      <c r="U9" s="12">
        <v>48.414838637690991</v>
      </c>
      <c r="V9" s="12">
        <v>48.152177840471268</v>
      </c>
      <c r="W9" s="13">
        <v>49.017136347596534</v>
      </c>
      <c r="X9" s="13">
        <v>48.660177191020921</v>
      </c>
      <c r="Y9" s="13">
        <v>49.558397365035489</v>
      </c>
      <c r="Z9" s="13">
        <v>49.197191510756966</v>
      </c>
      <c r="AA9" s="13">
        <v>49.205067240865901</v>
      </c>
      <c r="AB9" s="13">
        <v>48.879369364585727</v>
      </c>
      <c r="AC9" s="13">
        <v>49.138267294387333</v>
      </c>
      <c r="AD9" s="13">
        <v>48.772708517382853</v>
      </c>
      <c r="AE9" s="13">
        <v>49.345660061459057</v>
      </c>
      <c r="AF9" s="13">
        <v>48.988423148868605</v>
      </c>
    </row>
    <row r="10" spans="2:32" x14ac:dyDescent="0.25">
      <c r="B10" s="4" t="s">
        <v>30</v>
      </c>
      <c r="C10" s="11">
        <v>47.488426452386193</v>
      </c>
      <c r="D10" s="11">
        <v>47.153826164023485</v>
      </c>
      <c r="E10" s="11">
        <v>46.989013799931854</v>
      </c>
      <c r="F10" s="11">
        <v>46.665473099739756</v>
      </c>
      <c r="G10" s="11">
        <v>47.694173015537672</v>
      </c>
      <c r="H10" s="11">
        <v>47.357512280810624</v>
      </c>
      <c r="I10" s="11">
        <v>46.997777700889856</v>
      </c>
      <c r="J10" s="11">
        <v>46.698067432676908</v>
      </c>
      <c r="K10" s="11">
        <v>46.835634385584854</v>
      </c>
      <c r="L10" s="11">
        <v>46.47689013852505</v>
      </c>
      <c r="M10" s="12">
        <v>47.526077991700731</v>
      </c>
      <c r="N10" s="12">
        <v>47.313553668966051</v>
      </c>
      <c r="O10" s="12">
        <v>46.945458687259816</v>
      </c>
      <c r="P10" s="12">
        <v>46.781112831144128</v>
      </c>
      <c r="Q10" s="12">
        <v>46.363607534673065</v>
      </c>
      <c r="R10" s="12">
        <v>46.012869361671619</v>
      </c>
      <c r="S10" s="12">
        <v>46.395491140428931</v>
      </c>
      <c r="T10" s="12">
        <v>46.081499044434167</v>
      </c>
      <c r="U10" s="12">
        <v>47.484281525248662</v>
      </c>
      <c r="V10" s="12">
        <v>47.239584710740019</v>
      </c>
      <c r="W10" s="13">
        <v>48.447749581886455</v>
      </c>
      <c r="X10" s="13">
        <v>48.047600952500943</v>
      </c>
      <c r="Y10" s="13">
        <v>48.983503369963728</v>
      </c>
      <c r="Z10" s="13">
        <v>48.588659726839978</v>
      </c>
      <c r="AA10" s="13">
        <v>48.761301596299745</v>
      </c>
      <c r="AB10" s="13">
        <v>48.301733239088207</v>
      </c>
      <c r="AC10" s="13">
        <v>48.698085470939986</v>
      </c>
      <c r="AD10" s="13">
        <v>48.161383308004588</v>
      </c>
      <c r="AE10" s="13">
        <v>48.802794778719544</v>
      </c>
      <c r="AF10" s="13">
        <v>48.35089725657599</v>
      </c>
    </row>
    <row r="11" spans="2:32" x14ac:dyDescent="0.25">
      <c r="B11" s="4" t="s">
        <v>34</v>
      </c>
      <c r="C11" s="11">
        <v>46.769376552430913</v>
      </c>
      <c r="D11" s="11">
        <v>46.335577802674379</v>
      </c>
      <c r="E11" s="11">
        <v>46.113796956138685</v>
      </c>
      <c r="F11" s="11">
        <v>45.628294007736258</v>
      </c>
      <c r="G11" s="11">
        <v>46.866836034227163</v>
      </c>
      <c r="H11" s="11">
        <v>46.492312622838654</v>
      </c>
      <c r="I11" s="11">
        <v>46.343129000277258</v>
      </c>
      <c r="J11" s="11">
        <v>45.820353019458707</v>
      </c>
      <c r="K11" s="11">
        <v>45.580344741698354</v>
      </c>
      <c r="L11" s="11">
        <v>45.290808475401718</v>
      </c>
      <c r="M11" s="12">
        <v>46.507953116786666</v>
      </c>
      <c r="N11" s="12">
        <v>46.266568832914345</v>
      </c>
      <c r="O11" s="12">
        <v>45.868777896743268</v>
      </c>
      <c r="P11" s="12">
        <v>45.654783345758915</v>
      </c>
      <c r="Q11" s="12">
        <v>44.779965291643748</v>
      </c>
      <c r="R11" s="12">
        <v>45.636471019592136</v>
      </c>
      <c r="S11" s="12">
        <v>44.929195042001083</v>
      </c>
      <c r="T11" s="12">
        <v>44.666628464183304</v>
      </c>
      <c r="U11" s="12">
        <v>46.442469799774699</v>
      </c>
      <c r="V11" s="12">
        <v>46.19959046470467</v>
      </c>
      <c r="W11" s="13">
        <v>48.134906076942571</v>
      </c>
      <c r="X11" s="13">
        <v>47.614283539005555</v>
      </c>
      <c r="Y11" s="13">
        <v>48.74959470005706</v>
      </c>
      <c r="Z11" s="13">
        <v>48.189801669504959</v>
      </c>
      <c r="AA11" s="13">
        <v>48.423571395454928</v>
      </c>
      <c r="AB11" s="13">
        <v>47.907229564036243</v>
      </c>
      <c r="AC11" s="13">
        <v>48.347968168091029</v>
      </c>
      <c r="AD11" s="13">
        <v>47.750302928732708</v>
      </c>
      <c r="AE11" s="13">
        <v>48.417050516000018</v>
      </c>
      <c r="AF11" s="13">
        <v>47.907877898367587</v>
      </c>
    </row>
    <row r="12" spans="2:32" x14ac:dyDescent="0.25">
      <c r="B12" s="4" t="s">
        <v>35</v>
      </c>
      <c r="C12" s="11">
        <v>45.605344727286138</v>
      </c>
      <c r="D12" s="11">
        <v>45.324408334388863</v>
      </c>
      <c r="E12" s="11">
        <v>44.809911306831054</v>
      </c>
      <c r="F12" s="11">
        <v>44.346118328918237</v>
      </c>
      <c r="G12" s="11">
        <v>44.99206476402469</v>
      </c>
      <c r="H12" s="11">
        <v>44.613121825153939</v>
      </c>
      <c r="I12" s="11">
        <v>45.797256200108677</v>
      </c>
      <c r="J12" s="11">
        <v>45.449534706654958</v>
      </c>
      <c r="K12" s="11">
        <v>43.712918026954867</v>
      </c>
      <c r="L12" s="11">
        <v>43.44207141676452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>
        <v>47.252041133469902</v>
      </c>
      <c r="X12" s="13">
        <v>46.936536483524833</v>
      </c>
      <c r="Y12" s="13">
        <v>48.327874237322249</v>
      </c>
      <c r="Z12" s="13">
        <v>47.700074863620102</v>
      </c>
      <c r="AA12" s="13">
        <v>47.790910961572081</v>
      </c>
      <c r="AB12" s="13">
        <v>47.384989643760491</v>
      </c>
      <c r="AC12" s="13">
        <v>47.544672948424704</v>
      </c>
      <c r="AD12" s="13">
        <v>47.090545788640156</v>
      </c>
      <c r="AE12" s="13">
        <v>47.789818048593588</v>
      </c>
      <c r="AF12" s="13">
        <v>47.370282419957221</v>
      </c>
    </row>
    <row r="13" spans="2:32" x14ac:dyDescent="0.25">
      <c r="B13" s="4" t="s">
        <v>36</v>
      </c>
      <c r="C13" s="11">
        <v>44.879103451035917</v>
      </c>
      <c r="D13" s="11">
        <v>44.425844662764575</v>
      </c>
      <c r="E13" s="11">
        <v>43.494228971539997</v>
      </c>
      <c r="F13" s="11">
        <v>43.162850542983506</v>
      </c>
      <c r="G13" s="11">
        <v>43.925099321873859</v>
      </c>
      <c r="H13" s="11">
        <v>43.560146694537252</v>
      </c>
      <c r="I13" s="11">
        <v>44.931606975384057</v>
      </c>
      <c r="J13" s="11">
        <v>44.503761818981729</v>
      </c>
      <c r="K13" s="11">
        <v>42.610345642780885</v>
      </c>
      <c r="L13" s="11">
        <v>42.201969743415248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2:32" x14ac:dyDescent="0.25">
      <c r="B14" s="4" t="s">
        <v>37</v>
      </c>
      <c r="C14" s="11">
        <v>43.843874451471493</v>
      </c>
      <c r="D14" s="11">
        <v>43.448047081823461</v>
      </c>
      <c r="E14" s="11">
        <v>42.499612435232848</v>
      </c>
      <c r="F14" s="11">
        <v>41.989184818114154</v>
      </c>
      <c r="G14" s="11">
        <v>43.159338119556196</v>
      </c>
      <c r="H14" s="11">
        <v>42.685336920258123</v>
      </c>
      <c r="I14" s="11">
        <v>43.920971202664077</v>
      </c>
      <c r="J14" s="11">
        <v>43.557874344289303</v>
      </c>
      <c r="K14" s="11">
        <v>41.231353993003722</v>
      </c>
      <c r="L14" s="11">
        <v>40.869868039968424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2:32" x14ac:dyDescent="0.25">
      <c r="B15" s="4" t="s">
        <v>38</v>
      </c>
      <c r="C15" s="11">
        <v>42.820856702281162</v>
      </c>
      <c r="D15" s="11">
        <v>42.221928576997016</v>
      </c>
      <c r="E15" s="11">
        <v>40.981942064478062</v>
      </c>
      <c r="F15" s="11">
        <v>40.492043171660043</v>
      </c>
      <c r="G15" s="11">
        <v>41.893233648035675</v>
      </c>
      <c r="H15" s="11">
        <v>41.405865953071043</v>
      </c>
      <c r="I15" s="11">
        <v>42.851441131089814</v>
      </c>
      <c r="J15" s="11">
        <v>42.292714427632745</v>
      </c>
      <c r="K15" s="11">
        <v>39.566866105422378</v>
      </c>
      <c r="L15" s="11">
        <v>39.236852778994944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2:32" x14ac:dyDescent="0.25">
      <c r="B16" s="4" t="s">
        <v>39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2:32" x14ac:dyDescent="0.25">
      <c r="B17" s="4" t="s">
        <v>40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spans="2:32" x14ac:dyDescent="0.25">
      <c r="B18" s="4" t="s">
        <v>41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2:32" x14ac:dyDescent="0.25">
      <c r="B19" s="4" t="s">
        <v>42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2:32" x14ac:dyDescent="0.25">
      <c r="B20" s="4" t="s">
        <v>43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spans="2:32" x14ac:dyDescent="0.25">
      <c r="B21" s="4" t="s">
        <v>44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spans="2:32" x14ac:dyDescent="0.25">
      <c r="B22" s="4" t="s">
        <v>45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</sheetData>
  <mergeCells count="19">
    <mergeCell ref="Y3:Z3"/>
    <mergeCell ref="O3:P3"/>
    <mergeCell ref="Q3:R3"/>
    <mergeCell ref="S3:T3"/>
    <mergeCell ref="U3:V3"/>
    <mergeCell ref="W3:X3"/>
    <mergeCell ref="B1:AF1"/>
    <mergeCell ref="C2:L2"/>
    <mergeCell ref="M2:V2"/>
    <mergeCell ref="W2:AF2"/>
    <mergeCell ref="C3:D3"/>
    <mergeCell ref="E3:F3"/>
    <mergeCell ref="G3:H3"/>
    <mergeCell ref="I3:J3"/>
    <mergeCell ref="K3:L3"/>
    <mergeCell ref="M3:N3"/>
    <mergeCell ref="AA3:AB3"/>
    <mergeCell ref="AC3:AD3"/>
    <mergeCell ref="AE3:AF3"/>
  </mergeCells>
  <phoneticPr fontId="4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0760-E5FA-4852-8243-7845D14DB1FA}">
  <dimension ref="B1:Q19"/>
  <sheetViews>
    <sheetView workbookViewId="0">
      <selection activeCell="F19" sqref="F19"/>
    </sheetView>
  </sheetViews>
  <sheetFormatPr defaultColWidth="11.42578125" defaultRowHeight="15" x14ac:dyDescent="0.25"/>
  <cols>
    <col min="2" max="2" width="12.28515625" customWidth="1"/>
    <col min="3" max="7" width="7" style="23" customWidth="1"/>
    <col min="8" max="10" width="6" style="23" customWidth="1"/>
    <col min="11" max="12" width="7" style="23" customWidth="1"/>
    <col min="13" max="17" width="6" style="23" customWidth="1"/>
  </cols>
  <sheetData>
    <row r="1" spans="2:17" x14ac:dyDescent="0.25">
      <c r="B1" s="35" t="s">
        <v>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2:17" x14ac:dyDescent="0.25">
      <c r="B2" s="1" t="s">
        <v>0</v>
      </c>
      <c r="C2" s="55" t="s">
        <v>7</v>
      </c>
      <c r="D2" s="55"/>
      <c r="E2" s="55"/>
      <c r="F2" s="55"/>
      <c r="G2" s="55"/>
      <c r="H2" s="56" t="s">
        <v>8</v>
      </c>
      <c r="I2" s="56"/>
      <c r="J2" s="56"/>
      <c r="K2" s="56"/>
      <c r="L2" s="56"/>
      <c r="M2" s="57" t="s">
        <v>9</v>
      </c>
      <c r="N2" s="57"/>
      <c r="O2" s="57"/>
      <c r="P2" s="57"/>
      <c r="Q2" s="57"/>
    </row>
    <row r="3" spans="2:17" x14ac:dyDescent="0.25">
      <c r="B3" s="1" t="s">
        <v>1</v>
      </c>
      <c r="C3" s="17" t="s">
        <v>14</v>
      </c>
      <c r="D3" s="17" t="s">
        <v>15</v>
      </c>
      <c r="E3" s="17" t="s">
        <v>16</v>
      </c>
      <c r="F3" s="17" t="s">
        <v>17</v>
      </c>
      <c r="G3" s="17" t="s">
        <v>18</v>
      </c>
      <c r="H3" s="18" t="s">
        <v>19</v>
      </c>
      <c r="I3" s="18" t="s">
        <v>20</v>
      </c>
      <c r="J3" s="18" t="s">
        <v>13</v>
      </c>
      <c r="K3" s="18" t="s">
        <v>21</v>
      </c>
      <c r="L3" s="18" t="s">
        <v>22</v>
      </c>
      <c r="M3" s="19" t="s">
        <v>23</v>
      </c>
      <c r="N3" s="19" t="s">
        <v>24</v>
      </c>
      <c r="O3" s="19" t="s">
        <v>10</v>
      </c>
      <c r="P3" s="19" t="s">
        <v>11</v>
      </c>
      <c r="Q3" s="19" t="s">
        <v>12</v>
      </c>
    </row>
    <row r="4" spans="2:17" x14ac:dyDescent="0.25">
      <c r="B4" s="40" t="s">
        <v>46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</row>
    <row r="5" spans="2:17" x14ac:dyDescent="0.25">
      <c r="B5" s="1" t="s">
        <v>3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</row>
    <row r="6" spans="2:17" x14ac:dyDescent="0.25">
      <c r="B6" s="1" t="s">
        <v>4</v>
      </c>
      <c r="C6" s="20">
        <v>196</v>
      </c>
      <c r="D6" s="20">
        <v>194</v>
      </c>
      <c r="E6" s="20">
        <v>192</v>
      </c>
      <c r="F6" s="20">
        <v>197</v>
      </c>
      <c r="G6" s="20">
        <v>193</v>
      </c>
      <c r="H6" s="21">
        <v>173</v>
      </c>
      <c r="I6" s="21">
        <v>173</v>
      </c>
      <c r="J6" s="21">
        <v>174</v>
      </c>
      <c r="K6" s="21">
        <v>175</v>
      </c>
      <c r="L6" s="21">
        <v>176</v>
      </c>
      <c r="M6" s="22">
        <v>157</v>
      </c>
      <c r="N6" s="22">
        <v>153</v>
      </c>
      <c r="O6" s="22">
        <v>156</v>
      </c>
      <c r="P6" s="22">
        <v>154</v>
      </c>
      <c r="Q6" s="22">
        <v>165</v>
      </c>
    </row>
    <row r="7" spans="2:17" x14ac:dyDescent="0.25">
      <c r="B7" s="1" t="s">
        <v>5</v>
      </c>
      <c r="C7" s="20">
        <v>200</v>
      </c>
      <c r="D7" s="20">
        <v>199</v>
      </c>
      <c r="E7" s="20">
        <v>196</v>
      </c>
      <c r="F7" s="20">
        <v>201</v>
      </c>
      <c r="G7" s="20">
        <v>198</v>
      </c>
      <c r="H7" s="21">
        <v>174</v>
      </c>
      <c r="I7" s="21">
        <v>173</v>
      </c>
      <c r="J7" s="21">
        <v>175</v>
      </c>
      <c r="K7" s="21">
        <v>176</v>
      </c>
      <c r="L7" s="21">
        <v>176</v>
      </c>
      <c r="M7" s="22">
        <v>158</v>
      </c>
      <c r="N7" s="22">
        <v>154</v>
      </c>
      <c r="O7" s="22">
        <v>157</v>
      </c>
      <c r="P7" s="22">
        <v>155</v>
      </c>
      <c r="Q7" s="22">
        <v>168</v>
      </c>
    </row>
    <row r="8" spans="2:17" x14ac:dyDescent="0.25">
      <c r="B8" s="1" t="s">
        <v>28</v>
      </c>
      <c r="C8" s="20">
        <v>204</v>
      </c>
      <c r="D8" s="20">
        <v>203</v>
      </c>
      <c r="E8" s="20">
        <v>201</v>
      </c>
      <c r="F8" s="20">
        <v>206</v>
      </c>
      <c r="G8" s="20">
        <v>202</v>
      </c>
      <c r="H8" s="21">
        <v>172</v>
      </c>
      <c r="I8" s="21">
        <v>172</v>
      </c>
      <c r="J8" s="21">
        <v>177</v>
      </c>
      <c r="K8" s="21">
        <v>174</v>
      </c>
      <c r="L8" s="21">
        <v>175</v>
      </c>
      <c r="M8" s="22">
        <v>158</v>
      </c>
      <c r="N8" s="22">
        <v>154</v>
      </c>
      <c r="O8" s="22">
        <v>157</v>
      </c>
      <c r="P8" s="22">
        <v>155</v>
      </c>
      <c r="Q8" s="22">
        <v>167</v>
      </c>
    </row>
    <row r="9" spans="2:17" x14ac:dyDescent="0.25">
      <c r="B9" s="1" t="s">
        <v>29</v>
      </c>
      <c r="C9" s="20">
        <v>208</v>
      </c>
      <c r="D9" s="20">
        <v>207</v>
      </c>
      <c r="E9" s="20">
        <v>205</v>
      </c>
      <c r="F9" s="20">
        <v>210</v>
      </c>
      <c r="G9" s="20">
        <v>207</v>
      </c>
      <c r="H9" s="21">
        <v>175</v>
      </c>
      <c r="I9" s="21">
        <v>174</v>
      </c>
      <c r="J9" s="21">
        <v>178</v>
      </c>
      <c r="K9" s="21">
        <v>177</v>
      </c>
      <c r="L9" s="21">
        <v>178</v>
      </c>
      <c r="M9" s="25">
        <v>157</v>
      </c>
      <c r="N9" s="25">
        <v>154</v>
      </c>
      <c r="O9" s="25">
        <v>156</v>
      </c>
      <c r="P9" s="25">
        <v>154</v>
      </c>
      <c r="Q9" s="25">
        <v>167</v>
      </c>
    </row>
    <row r="10" spans="2:17" x14ac:dyDescent="0.25">
      <c r="B10" s="1" t="s">
        <v>30</v>
      </c>
      <c r="C10" s="20">
        <v>211</v>
      </c>
      <c r="D10" s="20">
        <v>208</v>
      </c>
      <c r="E10" s="20">
        <v>205</v>
      </c>
      <c r="F10" s="20">
        <v>211</v>
      </c>
      <c r="G10" s="20">
        <v>208</v>
      </c>
      <c r="H10" s="21">
        <v>176</v>
      </c>
      <c r="I10" s="21">
        <v>175</v>
      </c>
      <c r="J10" s="21">
        <v>180</v>
      </c>
      <c r="K10" s="21">
        <v>179</v>
      </c>
      <c r="L10" s="21">
        <v>179</v>
      </c>
      <c r="M10" s="25">
        <v>157</v>
      </c>
      <c r="N10" s="25">
        <v>155</v>
      </c>
      <c r="O10" s="25">
        <v>157</v>
      </c>
      <c r="P10" s="25">
        <v>154</v>
      </c>
      <c r="Q10" s="25">
        <v>168</v>
      </c>
    </row>
    <row r="11" spans="2:17" x14ac:dyDescent="0.25">
      <c r="B11" s="1" t="s">
        <v>34</v>
      </c>
      <c r="C11" s="20">
        <v>206</v>
      </c>
      <c r="D11" s="20">
        <v>217</v>
      </c>
      <c r="E11" s="20">
        <v>213</v>
      </c>
      <c r="F11" s="20">
        <v>219</v>
      </c>
      <c r="G11" s="20">
        <v>218</v>
      </c>
      <c r="H11" s="21">
        <v>178</v>
      </c>
      <c r="I11" s="21">
        <v>177</v>
      </c>
      <c r="J11" s="21">
        <v>184</v>
      </c>
      <c r="K11" s="21">
        <v>182</v>
      </c>
      <c r="L11" s="21">
        <v>182</v>
      </c>
      <c r="M11" s="25">
        <v>156</v>
      </c>
      <c r="N11" s="25">
        <v>154</v>
      </c>
      <c r="O11" s="25">
        <v>155</v>
      </c>
      <c r="P11" s="25">
        <v>153</v>
      </c>
      <c r="Q11" s="25">
        <v>167</v>
      </c>
    </row>
    <row r="12" spans="2:17" x14ac:dyDescent="0.25">
      <c r="B12" s="1" t="s">
        <v>35</v>
      </c>
      <c r="C12" s="20">
        <v>208</v>
      </c>
      <c r="D12" s="20">
        <v>222</v>
      </c>
      <c r="E12" s="20">
        <v>218</v>
      </c>
      <c r="F12" s="20">
        <v>222</v>
      </c>
      <c r="G12" s="20">
        <v>224</v>
      </c>
      <c r="H12" s="21"/>
      <c r="I12" s="21"/>
      <c r="J12" s="21"/>
      <c r="K12" s="21"/>
      <c r="L12" s="21"/>
      <c r="M12" s="25"/>
      <c r="N12" s="25"/>
      <c r="O12" s="25"/>
      <c r="P12" s="25"/>
      <c r="Q12" s="25"/>
    </row>
    <row r="13" spans="2:17" x14ac:dyDescent="0.25">
      <c r="B13" s="1" t="s">
        <v>36</v>
      </c>
      <c r="C13" s="20">
        <v>216</v>
      </c>
      <c r="D13" s="20">
        <v>230</v>
      </c>
      <c r="E13" s="20">
        <v>233</v>
      </c>
      <c r="F13" s="20">
        <v>224</v>
      </c>
      <c r="G13" s="20">
        <v>235</v>
      </c>
      <c r="H13" s="21"/>
      <c r="I13" s="21"/>
      <c r="J13" s="21"/>
      <c r="K13" s="21"/>
      <c r="L13" s="21"/>
      <c r="M13" s="25"/>
      <c r="N13" s="25"/>
      <c r="O13" s="25"/>
      <c r="P13" s="25"/>
      <c r="Q13" s="25"/>
    </row>
    <row r="14" spans="2:17" x14ac:dyDescent="0.25">
      <c r="B14" s="1" t="s">
        <v>37</v>
      </c>
      <c r="C14" s="20">
        <v>221</v>
      </c>
      <c r="D14" s="20">
        <v>237</v>
      </c>
      <c r="E14" s="20">
        <v>239</v>
      </c>
      <c r="F14" s="20">
        <v>230</v>
      </c>
      <c r="G14" s="20">
        <v>243</v>
      </c>
      <c r="H14" s="21"/>
      <c r="I14" s="21"/>
      <c r="J14" s="21"/>
      <c r="K14" s="21"/>
      <c r="L14" s="21"/>
      <c r="M14" s="25"/>
      <c r="N14" s="25"/>
      <c r="O14" s="25"/>
      <c r="P14" s="25"/>
      <c r="Q14" s="25"/>
    </row>
    <row r="15" spans="2:17" x14ac:dyDescent="0.25">
      <c r="B15" s="1" t="s">
        <v>38</v>
      </c>
      <c r="C15" s="20">
        <v>231</v>
      </c>
      <c r="D15" s="20">
        <v>250</v>
      </c>
      <c r="E15" s="20">
        <v>251</v>
      </c>
      <c r="F15" s="20">
        <v>241</v>
      </c>
      <c r="G15" s="20">
        <v>258</v>
      </c>
      <c r="H15" s="21"/>
      <c r="I15" s="21"/>
      <c r="J15" s="21"/>
      <c r="K15" s="21"/>
      <c r="L15" s="21"/>
      <c r="M15" s="25"/>
      <c r="N15" s="25"/>
      <c r="O15" s="25"/>
      <c r="P15" s="25"/>
      <c r="Q15" s="25"/>
    </row>
    <row r="16" spans="2:17" x14ac:dyDescent="0.25">
      <c r="B16" s="1" t="s">
        <v>39</v>
      </c>
      <c r="C16" s="20"/>
      <c r="D16" s="20"/>
      <c r="E16" s="20"/>
      <c r="F16" s="20"/>
      <c r="G16" s="20"/>
      <c r="H16" s="21"/>
      <c r="I16" s="21"/>
      <c r="J16" s="21"/>
      <c r="K16" s="21"/>
      <c r="L16" s="21"/>
      <c r="M16" s="25"/>
      <c r="N16" s="25"/>
      <c r="O16" s="25"/>
      <c r="P16" s="25"/>
      <c r="Q16" s="25"/>
    </row>
    <row r="17" spans="2:17" x14ac:dyDescent="0.25">
      <c r="B17" s="1" t="s">
        <v>40</v>
      </c>
      <c r="C17" s="20"/>
      <c r="D17" s="20"/>
      <c r="E17" s="20"/>
      <c r="F17" s="20"/>
      <c r="G17" s="20"/>
      <c r="H17" s="21"/>
      <c r="I17" s="21"/>
      <c r="J17" s="21"/>
      <c r="K17" s="21"/>
      <c r="L17" s="21"/>
      <c r="M17" s="25"/>
      <c r="N17" s="25"/>
      <c r="O17" s="25"/>
      <c r="P17" s="25"/>
      <c r="Q17" s="25"/>
    </row>
    <row r="18" spans="2:17" x14ac:dyDescent="0.25">
      <c r="B18" s="1" t="s">
        <v>41</v>
      </c>
      <c r="C18" s="20"/>
      <c r="D18" s="20"/>
      <c r="E18" s="20"/>
      <c r="F18" s="20"/>
      <c r="G18" s="20"/>
      <c r="H18" s="21"/>
      <c r="I18" s="21"/>
      <c r="J18" s="21"/>
      <c r="K18" s="21"/>
      <c r="L18" s="21"/>
      <c r="M18" s="25"/>
      <c r="N18" s="25"/>
      <c r="O18" s="25"/>
      <c r="P18" s="25"/>
      <c r="Q18" s="25"/>
    </row>
    <row r="19" spans="2:17" x14ac:dyDescent="0.25">
      <c r="B19" s="1" t="s">
        <v>42</v>
      </c>
      <c r="C19" s="20"/>
      <c r="D19" s="20"/>
      <c r="E19" s="20"/>
      <c r="F19" s="20"/>
      <c r="G19" s="20"/>
      <c r="H19" s="21"/>
      <c r="I19" s="21"/>
      <c r="J19" s="21"/>
      <c r="K19" s="21"/>
      <c r="L19" s="21"/>
      <c r="M19" s="25"/>
      <c r="N19" s="25"/>
      <c r="O19" s="25"/>
      <c r="P19" s="25"/>
      <c r="Q19" s="25"/>
    </row>
  </sheetData>
  <mergeCells count="5">
    <mergeCell ref="B1:Q1"/>
    <mergeCell ref="C2:G2"/>
    <mergeCell ref="H2:L2"/>
    <mergeCell ref="M2:Q2"/>
    <mergeCell ref="B4:Q4"/>
  </mergeCells>
  <phoneticPr fontId="4" type="noConversion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4FE1-8CB0-43E2-AD82-0E1FA1062D6D}">
  <dimension ref="B1:AF7"/>
  <sheetViews>
    <sheetView workbookViewId="0">
      <selection activeCell="C8" sqref="C8"/>
    </sheetView>
  </sheetViews>
  <sheetFormatPr defaultColWidth="11.42578125" defaultRowHeight="15" x14ac:dyDescent="0.25"/>
  <cols>
    <col min="1" max="1" width="9.7109375" customWidth="1"/>
    <col min="3" max="12" width="7.7109375" customWidth="1"/>
    <col min="23" max="32" width="7.140625" customWidth="1"/>
  </cols>
  <sheetData>
    <row r="1" spans="2:32" x14ac:dyDescent="0.25">
      <c r="B1" s="48" t="s">
        <v>6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</row>
    <row r="2" spans="2:32" ht="15.75" thickBot="1" x14ac:dyDescent="0.3">
      <c r="B2" s="3" t="s">
        <v>0</v>
      </c>
      <c r="C2" s="50" t="s">
        <v>33</v>
      </c>
      <c r="D2" s="51"/>
      <c r="E2" s="51"/>
      <c r="F2" s="51"/>
      <c r="G2" s="51"/>
      <c r="H2" s="51"/>
      <c r="I2" s="51"/>
      <c r="J2" s="51"/>
      <c r="K2" s="51"/>
      <c r="L2" s="51"/>
      <c r="M2" s="52" t="s">
        <v>8</v>
      </c>
      <c r="N2" s="52"/>
      <c r="O2" s="52"/>
      <c r="P2" s="52"/>
      <c r="Q2" s="52"/>
      <c r="R2" s="52"/>
      <c r="S2" s="52"/>
      <c r="T2" s="52"/>
      <c r="U2" s="52"/>
      <c r="V2" s="52"/>
      <c r="W2" s="53" t="s">
        <v>9</v>
      </c>
      <c r="X2" s="53"/>
      <c r="Y2" s="53"/>
      <c r="Z2" s="53"/>
      <c r="AA2" s="53"/>
      <c r="AB2" s="53"/>
      <c r="AC2" s="53"/>
      <c r="AD2" s="53"/>
      <c r="AE2" s="53"/>
      <c r="AF2" s="53"/>
    </row>
    <row r="3" spans="2:32" x14ac:dyDescent="0.25">
      <c r="B3" s="34" t="s">
        <v>1</v>
      </c>
      <c r="C3" s="54" t="s">
        <v>14</v>
      </c>
      <c r="D3" s="42"/>
      <c r="E3" s="41" t="s">
        <v>15</v>
      </c>
      <c r="F3" s="42"/>
      <c r="G3" s="41" t="s">
        <v>16</v>
      </c>
      <c r="H3" s="42"/>
      <c r="I3" s="54" t="s">
        <v>17</v>
      </c>
      <c r="J3" s="42"/>
      <c r="K3" s="54" t="s">
        <v>18</v>
      </c>
      <c r="L3" s="42"/>
      <c r="M3" s="43" t="s">
        <v>19</v>
      </c>
      <c r="N3" s="44"/>
      <c r="O3" s="43" t="s">
        <v>20</v>
      </c>
      <c r="P3" s="44"/>
      <c r="Q3" s="43" t="s">
        <v>13</v>
      </c>
      <c r="R3" s="44"/>
      <c r="S3" s="43" t="s">
        <v>21</v>
      </c>
      <c r="T3" s="44"/>
      <c r="U3" s="43" t="s">
        <v>22</v>
      </c>
      <c r="V3" s="44"/>
      <c r="W3" s="46" t="s">
        <v>23</v>
      </c>
      <c r="X3" s="47"/>
      <c r="Y3" s="46" t="s">
        <v>24</v>
      </c>
      <c r="Z3" s="47"/>
      <c r="AA3" s="46" t="s">
        <v>10</v>
      </c>
      <c r="AB3" s="47"/>
      <c r="AC3" s="46" t="s">
        <v>11</v>
      </c>
      <c r="AD3" s="47"/>
      <c r="AE3" s="46" t="s">
        <v>12</v>
      </c>
      <c r="AF3" s="47"/>
    </row>
    <row r="4" spans="2:32" x14ac:dyDescent="0.25">
      <c r="B4" s="34" t="s">
        <v>2</v>
      </c>
      <c r="C4" s="5" t="s">
        <v>31</v>
      </c>
      <c r="D4" s="5" t="s">
        <v>32</v>
      </c>
      <c r="E4" s="5" t="s">
        <v>31</v>
      </c>
      <c r="F4" s="5" t="s">
        <v>32</v>
      </c>
      <c r="G4" s="5" t="s">
        <v>31</v>
      </c>
      <c r="H4" s="5" t="s">
        <v>32</v>
      </c>
      <c r="I4" s="5" t="s">
        <v>31</v>
      </c>
      <c r="J4" s="5" t="s">
        <v>32</v>
      </c>
      <c r="K4" s="5" t="s">
        <v>31</v>
      </c>
      <c r="L4" s="5" t="s">
        <v>32</v>
      </c>
      <c r="M4" s="5" t="s">
        <v>31</v>
      </c>
      <c r="N4" s="5" t="s">
        <v>32</v>
      </c>
      <c r="O4" s="5" t="s">
        <v>31</v>
      </c>
      <c r="P4" s="5" t="s">
        <v>32</v>
      </c>
      <c r="Q4" s="5" t="s">
        <v>31</v>
      </c>
      <c r="R4" s="5" t="s">
        <v>32</v>
      </c>
      <c r="S4" s="5" t="s">
        <v>31</v>
      </c>
      <c r="T4" s="5" t="s">
        <v>32</v>
      </c>
      <c r="U4" s="5" t="s">
        <v>31</v>
      </c>
      <c r="V4" s="5" t="s">
        <v>32</v>
      </c>
      <c r="W4" s="5" t="s">
        <v>31</v>
      </c>
      <c r="X4" s="5" t="s">
        <v>32</v>
      </c>
      <c r="Y4" s="5" t="s">
        <v>31</v>
      </c>
      <c r="Z4" s="5" t="s">
        <v>32</v>
      </c>
      <c r="AA4" s="5" t="s">
        <v>31</v>
      </c>
      <c r="AB4" s="5" t="s">
        <v>32</v>
      </c>
      <c r="AC4" s="5" t="s">
        <v>31</v>
      </c>
      <c r="AD4" s="5" t="s">
        <v>32</v>
      </c>
      <c r="AE4" s="5" t="s">
        <v>31</v>
      </c>
      <c r="AF4" s="5" t="s">
        <v>32</v>
      </c>
    </row>
    <row r="5" spans="2:32" x14ac:dyDescent="0.25">
      <c r="B5" s="4" t="s">
        <v>3</v>
      </c>
      <c r="C5" s="11">
        <v>53.394234416540712</v>
      </c>
      <c r="D5" s="11">
        <v>53.303882691136096</v>
      </c>
      <c r="E5" s="11">
        <v>53.514290340370877</v>
      </c>
      <c r="F5" s="11">
        <v>53.455910053919069</v>
      </c>
      <c r="G5" s="11">
        <v>54.465874142129906</v>
      </c>
      <c r="H5" s="11">
        <v>54.174757795932237</v>
      </c>
      <c r="I5" s="11">
        <v>53.373862231036711</v>
      </c>
      <c r="J5" s="11">
        <v>53.330271827930119</v>
      </c>
      <c r="K5" s="11">
        <v>53.897586236183997</v>
      </c>
      <c r="L5" s="11">
        <v>53.711062300892081</v>
      </c>
      <c r="M5" s="12">
        <v>53.530556806130335</v>
      </c>
      <c r="N5" s="12">
        <v>53.57865726709133</v>
      </c>
      <c r="O5" s="12">
        <v>53.540930705261417</v>
      </c>
      <c r="P5" s="12">
        <v>53.566478497523349</v>
      </c>
      <c r="Q5" s="12">
        <v>53.839325638871088</v>
      </c>
      <c r="R5" s="12">
        <v>53.809077345300466</v>
      </c>
      <c r="S5" s="12">
        <v>53.768881050578784</v>
      </c>
      <c r="T5" s="12">
        <v>53.770503169333097</v>
      </c>
      <c r="U5" s="12">
        <v>53.783822287106887</v>
      </c>
      <c r="V5" s="12">
        <v>53.497140594292397</v>
      </c>
      <c r="W5" s="13">
        <v>53.919162055147559</v>
      </c>
      <c r="X5" s="13">
        <v>53.85748879390303</v>
      </c>
      <c r="Y5" s="13">
        <v>54.637139876058356</v>
      </c>
      <c r="Z5" s="13">
        <v>54.648862853646278</v>
      </c>
      <c r="AA5" s="13">
        <v>54.040503562719024</v>
      </c>
      <c r="AB5" s="13">
        <v>52.99092135601677</v>
      </c>
      <c r="AC5" s="13">
        <v>53.712964785459917</v>
      </c>
      <c r="AD5" s="13">
        <v>53.644645782303996</v>
      </c>
      <c r="AE5" s="13">
        <v>54.232873442855023</v>
      </c>
      <c r="AF5" s="13">
        <v>54.111123979731929</v>
      </c>
    </row>
    <row r="6" spans="2:32" x14ac:dyDescent="0.25">
      <c r="B6" s="4" t="s">
        <v>53</v>
      </c>
      <c r="C6" s="11">
        <v>44.84445954777766</v>
      </c>
      <c r="D6" s="11">
        <v>44.543971021252219</v>
      </c>
      <c r="E6" s="11">
        <v>43.20904612087179</v>
      </c>
      <c r="F6" s="11">
        <v>42.964224191906396</v>
      </c>
      <c r="G6" s="11">
        <v>44.181784351123497</v>
      </c>
      <c r="H6" s="11">
        <v>43.824313346354757</v>
      </c>
      <c r="I6" s="11">
        <v>44.898060763254762</v>
      </c>
      <c r="J6" s="11">
        <v>44.617710132326465</v>
      </c>
      <c r="K6" s="11">
        <v>41.894474033033475</v>
      </c>
      <c r="L6" s="11">
        <v>41.661866969370749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3">
        <v>48.607130304029852</v>
      </c>
      <c r="X6" s="13">
        <v>48.468587949522771</v>
      </c>
      <c r="Y6" s="13">
        <v>49.401719330428023</v>
      </c>
      <c r="Z6" s="13">
        <v>49.263757479784545</v>
      </c>
      <c r="AA6" s="13">
        <v>48.983511168933546</v>
      </c>
      <c r="AB6" s="13">
        <v>48.904601757414639</v>
      </c>
      <c r="AC6" s="13">
        <v>48.871044505707687</v>
      </c>
      <c r="AD6" s="13">
        <v>48.771174887137022</v>
      </c>
      <c r="AE6" s="13">
        <v>48.886338205076754</v>
      </c>
      <c r="AF6" s="13">
        <v>48.823168179136701</v>
      </c>
    </row>
    <row r="7" spans="2:32" x14ac:dyDescent="0.25">
      <c r="B7" s="4" t="s">
        <v>54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3"/>
      <c r="Y7" s="13"/>
      <c r="Z7" s="13"/>
      <c r="AA7" s="13"/>
      <c r="AB7" s="13"/>
      <c r="AC7" s="13"/>
      <c r="AD7" s="13"/>
      <c r="AE7" s="13"/>
      <c r="AF7" s="13"/>
    </row>
  </sheetData>
  <mergeCells count="19">
    <mergeCell ref="AE3:AF3"/>
    <mergeCell ref="O3:P3"/>
    <mergeCell ref="Q3:R3"/>
    <mergeCell ref="S3:T3"/>
    <mergeCell ref="U3:V3"/>
    <mergeCell ref="W3:X3"/>
    <mergeCell ref="Y3:Z3"/>
    <mergeCell ref="B1:AF1"/>
    <mergeCell ref="C2:L2"/>
    <mergeCell ref="M2:V2"/>
    <mergeCell ref="W2:AF2"/>
    <mergeCell ref="C3:D3"/>
    <mergeCell ref="E3:F3"/>
    <mergeCell ref="G3:H3"/>
    <mergeCell ref="I3:J3"/>
    <mergeCell ref="K3:L3"/>
    <mergeCell ref="M3:N3"/>
    <mergeCell ref="AA3:AB3"/>
    <mergeCell ref="AC3:AD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2B50-2178-472B-9BDF-DE20066288EE}">
  <dimension ref="B3:U13"/>
  <sheetViews>
    <sheetView workbookViewId="0">
      <selection activeCell="F31" sqref="F31"/>
    </sheetView>
  </sheetViews>
  <sheetFormatPr defaultColWidth="11.42578125" defaultRowHeight="15" x14ac:dyDescent="0.25"/>
  <sheetData>
    <row r="3" spans="2:21" x14ac:dyDescent="0.25">
      <c r="B3" s="64" t="s">
        <v>47</v>
      </c>
      <c r="C3" s="65"/>
      <c r="D3" s="65"/>
      <c r="E3" s="65"/>
      <c r="F3" s="65"/>
      <c r="G3" s="65"/>
      <c r="H3" s="65"/>
      <c r="I3" s="65"/>
      <c r="J3" s="66"/>
      <c r="K3" s="26"/>
      <c r="L3" s="26"/>
      <c r="M3" s="64" t="s">
        <v>9</v>
      </c>
      <c r="N3" s="65"/>
      <c r="O3" s="65"/>
      <c r="P3" s="65"/>
      <c r="Q3" s="65"/>
      <c r="R3" s="65"/>
      <c r="S3" s="65"/>
      <c r="T3" s="65"/>
      <c r="U3" s="66"/>
    </row>
    <row r="4" spans="2:21" x14ac:dyDescent="0.25">
      <c r="B4" s="62" t="s">
        <v>48</v>
      </c>
      <c r="C4" s="63"/>
      <c r="D4" s="63"/>
      <c r="E4" s="27" t="s">
        <v>14</v>
      </c>
      <c r="F4" s="27" t="s">
        <v>15</v>
      </c>
      <c r="G4" s="27" t="s">
        <v>16</v>
      </c>
      <c r="H4" s="27" t="s">
        <v>17</v>
      </c>
      <c r="I4" s="27" t="s">
        <v>18</v>
      </c>
      <c r="J4" s="29" t="s">
        <v>49</v>
      </c>
      <c r="K4" s="26"/>
      <c r="L4" s="26"/>
      <c r="M4" s="62" t="s">
        <v>48</v>
      </c>
      <c r="N4" s="63"/>
      <c r="O4" s="63"/>
      <c r="P4" s="27" t="s">
        <v>23</v>
      </c>
      <c r="Q4" s="27" t="s">
        <v>24</v>
      </c>
      <c r="R4" s="27" t="s">
        <v>10</v>
      </c>
      <c r="S4" s="27" t="s">
        <v>11</v>
      </c>
      <c r="T4" s="27" t="s">
        <v>12</v>
      </c>
      <c r="U4" s="29" t="s">
        <v>49</v>
      </c>
    </row>
    <row r="5" spans="2:21" x14ac:dyDescent="0.25">
      <c r="B5" s="60" t="s">
        <v>50</v>
      </c>
      <c r="C5" s="61"/>
      <c r="D5" s="61"/>
      <c r="E5" s="28">
        <f>1-Kapazität!C13/50</f>
        <v>0.1016350988007616</v>
      </c>
      <c r="F5" s="28">
        <f>1-Kapazität!D13/50</f>
        <v>0.12885774119175042</v>
      </c>
      <c r="G5" s="28">
        <f>1-Kapazität!E13/50</f>
        <v>0.11926798729924482</v>
      </c>
      <c r="H5" s="28">
        <f>1-Kapazität!F13/50</f>
        <v>0.10197704542311836</v>
      </c>
      <c r="I5" s="28">
        <f>1-Kapazität!G13/50</f>
        <v>0.1477476937905885</v>
      </c>
      <c r="J5" s="30">
        <f>AVERAGE(E5:I5)</f>
        <v>0.11989711330109273</v>
      </c>
      <c r="K5" s="26"/>
      <c r="L5" s="26"/>
      <c r="M5" s="60" t="s">
        <v>50</v>
      </c>
      <c r="N5" s="61"/>
      <c r="O5" s="61"/>
      <c r="P5" s="28">
        <f>1-Kapazität!M10/50</f>
        <v>2.7206448308425002E-2</v>
      </c>
      <c r="Q5" s="28">
        <f>1-Kapazität!N10/50</f>
        <v>1.5115671571111267E-2</v>
      </c>
      <c r="R5" s="28">
        <f>1-Kapazität!O10/50</f>
        <v>2.1642868382623415E-2</v>
      </c>
      <c r="S5" s="28">
        <f>1-Kapazität!P10/50</f>
        <v>2.3757744956528715E-2</v>
      </c>
      <c r="T5" s="28">
        <f>1-Kapazität!Q10/50</f>
        <v>2.1458672408480206E-2</v>
      </c>
      <c r="U5" s="30">
        <f>AVERAGE(P5:T5)</f>
        <v>2.1836281125433721E-2</v>
      </c>
    </row>
    <row r="6" spans="2:21" x14ac:dyDescent="0.25">
      <c r="B6" s="58" t="s">
        <v>51</v>
      </c>
      <c r="C6" s="59"/>
      <c r="D6" s="59"/>
      <c r="E6" s="31">
        <f>1-Kapazität!C13/Kapazität!C12</f>
        <v>1.7877964090038501E-2</v>
      </c>
      <c r="F6" s="31">
        <f>1-Kapazität!D13/Kapazität!D12</f>
        <v>2.847377476981594E-2</v>
      </c>
      <c r="G6" s="31">
        <f>1-Kapazität!E13/Kapazität!E12</f>
        <v>2.4121012924724017E-2</v>
      </c>
      <c r="H6" s="31">
        <f>1-Kapazität!F13/Kapazität!F12</f>
        <v>2.2503272732984247E-2</v>
      </c>
      <c r="I6" s="31">
        <f>1-Kapazität!G13/Kapazität!G12</f>
        <v>2.6094246416681233E-2</v>
      </c>
      <c r="J6" s="32">
        <f>AVERAGE(E6:I6)</f>
        <v>2.3814054186848788E-2</v>
      </c>
      <c r="K6" s="26"/>
      <c r="L6" s="26"/>
      <c r="M6" s="58" t="s">
        <v>51</v>
      </c>
      <c r="N6" s="59"/>
      <c r="O6" s="59"/>
      <c r="P6" s="31">
        <f>1-Kapazität!M10/Kapazität!M9</f>
        <v>1.1402733545997967E-2</v>
      </c>
      <c r="Q6" s="31">
        <f>1-Kapazität!N10/Kapazität!N9</f>
        <v>1.2238719234513362E-2</v>
      </c>
      <c r="R6" s="31">
        <f>1-Kapazität!O10/Kapazität!O9</f>
        <v>1.0877030534969134E-2</v>
      </c>
      <c r="S6" s="31">
        <f>1-Kapazität!P10/Kapazität!P9</f>
        <v>1.1191518172200432E-2</v>
      </c>
      <c r="T6" s="31">
        <f>1-Kapazität!Q10/Kapazität!Q9</f>
        <v>1.2240168975068522E-2</v>
      </c>
      <c r="U6" s="30">
        <f>AVERAGE(P6:T6)</f>
        <v>1.1590034092549883E-2</v>
      </c>
    </row>
    <row r="7" spans="2:21" x14ac:dyDescent="0.25">
      <c r="U7" s="33"/>
    </row>
    <row r="10" spans="2:21" x14ac:dyDescent="0.25">
      <c r="B10" s="26"/>
      <c r="C10" s="26"/>
      <c r="D10" s="26"/>
      <c r="E10" s="26"/>
      <c r="F10" s="26"/>
      <c r="G10" s="64" t="s">
        <v>8</v>
      </c>
      <c r="H10" s="65"/>
      <c r="I10" s="65"/>
      <c r="J10" s="65"/>
      <c r="K10" s="65"/>
      <c r="L10" s="65"/>
      <c r="M10" s="65"/>
      <c r="N10" s="65"/>
      <c r="O10" s="66"/>
      <c r="P10" s="26"/>
      <c r="Q10" s="26"/>
      <c r="R10" s="26"/>
      <c r="S10" s="26"/>
      <c r="T10" s="26"/>
      <c r="U10" s="26"/>
    </row>
    <row r="11" spans="2:21" x14ac:dyDescent="0.25">
      <c r="B11" s="26"/>
      <c r="C11" s="26"/>
      <c r="D11" s="26"/>
      <c r="E11" s="26"/>
      <c r="F11" s="26"/>
      <c r="G11" s="62" t="s">
        <v>48</v>
      </c>
      <c r="H11" s="63"/>
      <c r="I11" s="63"/>
      <c r="J11" s="27" t="s">
        <v>19</v>
      </c>
      <c r="K11" s="27" t="s">
        <v>20</v>
      </c>
      <c r="L11" s="27" t="s">
        <v>13</v>
      </c>
      <c r="M11" s="27" t="s">
        <v>21</v>
      </c>
      <c r="N11" s="27" t="s">
        <v>22</v>
      </c>
      <c r="O11" s="29" t="s">
        <v>49</v>
      </c>
      <c r="P11" s="26"/>
      <c r="Q11" s="26"/>
      <c r="R11" s="26"/>
      <c r="S11" s="26"/>
      <c r="T11" s="26"/>
      <c r="U11" s="26"/>
    </row>
    <row r="12" spans="2:21" x14ac:dyDescent="0.25">
      <c r="B12" s="26"/>
      <c r="C12" s="26"/>
      <c r="D12" s="26"/>
      <c r="E12" s="26"/>
      <c r="F12" s="26"/>
      <c r="G12" s="60" t="s">
        <v>52</v>
      </c>
      <c r="H12" s="61"/>
      <c r="I12" s="61"/>
      <c r="J12" s="28">
        <f>1-Kapazität!H10/50</f>
        <v>4.3566338500240831E-2</v>
      </c>
      <c r="K12" s="28">
        <f>1-Kapazität!I10/50</f>
        <v>5.5017118568066459E-2</v>
      </c>
      <c r="L12" s="28">
        <f>1-Kapazität!J10/50</f>
        <v>6.9442013774532851E-2</v>
      </c>
      <c r="M12" s="28">
        <f>1-Kapazität!K10/50</f>
        <v>6.8187172906473248E-2</v>
      </c>
      <c r="N12" s="28">
        <f>1-Kapazität!L10/50</f>
        <v>4.5820293558062941E-2</v>
      </c>
      <c r="O12" s="30">
        <f>AVERAGE(J12:N12)</f>
        <v>5.6406587461475269E-2</v>
      </c>
      <c r="P12" s="26"/>
      <c r="Q12" s="26"/>
      <c r="R12" s="26"/>
      <c r="S12" s="26"/>
      <c r="T12" s="26"/>
      <c r="U12" s="26"/>
    </row>
    <row r="13" spans="2:21" x14ac:dyDescent="0.25">
      <c r="D13" s="26"/>
      <c r="E13" s="26"/>
      <c r="F13" s="26"/>
      <c r="G13" s="58" t="s">
        <v>51</v>
      </c>
      <c r="H13" s="59"/>
      <c r="I13" s="59"/>
      <c r="J13" s="31">
        <f>1-Kapazität!H10/Kapazität!H9</f>
        <v>1.8357074339129031E-2</v>
      </c>
      <c r="K13" s="31">
        <f>1-Kapazität!I10/Kapazität!I9</f>
        <v>1.7883907290701884E-2</v>
      </c>
      <c r="L13" s="31">
        <f>1-Kapazität!J10/Kapazität!J9</f>
        <v>2.6831364151466586E-2</v>
      </c>
      <c r="M13" s="31">
        <f>1-Kapazität!K10/Kapazität!K9</f>
        <v>2.470310714668944E-2</v>
      </c>
      <c r="N13" s="31">
        <f>1-Kapazität!L10/Kapazität!L9</f>
        <v>1.9361877214297163E-2</v>
      </c>
      <c r="O13" s="32">
        <f>AVERAGE(J13:N13)</f>
        <v>2.1427466028456819E-2</v>
      </c>
    </row>
  </sheetData>
  <mergeCells count="12">
    <mergeCell ref="G13:I13"/>
    <mergeCell ref="G12:I12"/>
    <mergeCell ref="G11:I11"/>
    <mergeCell ref="G10:O10"/>
    <mergeCell ref="M3:U3"/>
    <mergeCell ref="B3:J3"/>
    <mergeCell ref="B4:D4"/>
    <mergeCell ref="B5:D5"/>
    <mergeCell ref="B6:D6"/>
    <mergeCell ref="M4:O4"/>
    <mergeCell ref="M5:O5"/>
    <mergeCell ref="M6:O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3B75A5-EF08-47E3-8AEB-541443408A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Kapazität</vt:lpstr>
      <vt:lpstr>Leistungen</vt:lpstr>
      <vt:lpstr>Dynamische Kapazität 25°C</vt:lpstr>
      <vt:lpstr>Zyklenanzahl</vt:lpstr>
      <vt:lpstr>Dynamische Kapazität 45°C</vt:lpstr>
      <vt:lpstr>Tabelle1</vt:lpstr>
    </vt:vector>
  </TitlesOfParts>
  <Company>RWTH Aachen, ISEA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Dongmo Tadoum, Dilane Jordan</dc:creator>
  <cp:lastModifiedBy>FM-hims-aachen</cp:lastModifiedBy>
  <dcterms:created xsi:type="dcterms:W3CDTF">2023-12-20T10:02:11Z</dcterms:created>
  <dcterms:modified xsi:type="dcterms:W3CDTF">2024-07-24T14:01:33Z</dcterms:modified>
</cp:coreProperties>
</file>